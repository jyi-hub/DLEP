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<sst xmlns="http://schemas.openxmlformats.org/spreadsheetml/2006/main" count="343" uniqueCount="342">
  <si>
    <t>城市列表</t>
  </si>
  <si>
    <t>GDP（亿元）</t>
  </si>
  <si>
    <t>人口密度（人/平方公里）</t>
  </si>
  <si>
    <t>城市夜间灯光（总和）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</si>
  <si>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</si>
  <si>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</si>
  <si>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</si>
  <si>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</si>
  <si>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</si>
  <si>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</si>
  <si>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</si>
  <si>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</si>
  <si>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</si>
  <si>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</si>
  <si>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</si>
  <si>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</si>
  <si>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</si>
  <si>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</si>
  <si>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</si>
  <si>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</si>
  <si>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</si>
  <si>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</si>
  <si>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</si>
  <si>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</si>
  <si>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</si>
  <si>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</si>
  <si>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</si>
  <si>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</si>
  <si>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</si>
  <si>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</si>
  <si>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</si>
  <si>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</si>
  <si>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</si>
  <si>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</si>
  <si>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</si>
  <si>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</si>
  <si>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</si>
  <si>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</si>
  <si>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</si>
  <si>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</si>
  <si>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</si>
  <si>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</si>
  <si>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</si>
  <si>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</si>
  <si>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</si>
  <si>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</si>
  <si>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</si>
  <si>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</si>
  <si>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</si>
  <si>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</si>
  <si>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</si>
  <si>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</si>
  <si>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</si>
  <si>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</si>
  <si>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</si>
  <si>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</si>
  <si>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</si>
  <si>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</si>
  <si>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</si>
  <si>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</si>
  <si>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</si>
  <si>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</si>
  <si>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</si>
  <si>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</si>
  <si>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</si>
  <si>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</si>
  <si>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</si>
  <si>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</si>
  <si>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</si>
  <si>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</si>
  <si>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</si>
  <si>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</si>
  <si>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</si>
  <si>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</si>
  <si>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</si>
  <si>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</si>
  <si>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</si>
  <si>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</si>
  <si>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</si>
  <si>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</si>
  <si>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</si>
  <si>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</si>
  <si>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</si>
  <si>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</si>
  <si>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</si>
  <si>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</si>
  <si>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</si>
  <si>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</si>
  <si>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</si>
  <si>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</si>
  <si>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</si>
  <si>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</si>
  <si>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</si>
  <si>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</si>
  <si>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</si>
  <si>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</si>
  <si>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</si>
  <si>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</si>
  <si>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</si>
  <si>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</si>
  <si>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</si>
  <si>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</si>
  <si>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</si>
  <si>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</si>
  <si>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</si>
  <si>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</si>
  <si>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</si>
  <si>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</si>
  <si>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</si>
  <si>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</si>
  <si>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</si>
  <si>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</si>
  <si>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</si>
  <si>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</si>
  <si>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</si>
  <si>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</si>
  <si>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</si>
  <si>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</si>
  <si>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</si>
  <si>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</si>
  <si>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</si>
  <si>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</si>
  <si>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</si>
  <si>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</si>
  <si>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</si>
  <si>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</si>
  <si>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</si>
  <si>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</si>
  <si>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</si>
  <si>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</si>
  <si>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</si>
  <si>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</si>
  <si>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</si>
  <si>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</si>
  <si>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</si>
  <si>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</si>
  <si>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</si>
  <si>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</si>
  <si>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</si>
  <si>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</si>
  <si>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</si>
  <si>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</si>
  <si>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</si>
  <si>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</si>
  <si>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</si>
  <si>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</si>
  <si>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</si>
  <si>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</si>
  <si>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</si>
  <si>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</si>
  <si>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</si>
  <si>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</si>
  <si>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</si>
  <si>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</si>
  <si>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</si>
  <si>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</si>
  <si>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</si>
  <si>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</si>
  <si>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</si>
  <si>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</si>
  <si>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</si>
  <si>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</si>
  <si>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</si>
  <si>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</si>
  <si>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</si>
  <si>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</si>
  <si>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</si>
  <si>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</si>
  <si>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</si>
  <si>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</si>
  <si>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</si>
  <si>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</si>
  <si>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</si>
  <si>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</si>
  <si>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</si>
  <si>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</si>
  <si>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</si>
  <si>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</si>
  <si>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</si>
  <si>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</si>
  <si>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</si>
  <si>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</si>
  <si>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</si>
  <si>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</si>
  <si>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</si>
  <si>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</si>
  <si>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</si>
  <si>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</si>
  <si>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</si>
  <si>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</si>
  <si>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</si>
  <si>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</si>
  <si>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</si>
  <si>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</si>
  <si>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</si>
  <si>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</si>
  <si>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</si>
  <si>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</si>
  <si>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</si>
  <si>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</si>
  <si>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</si>
  <si>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</si>
  <si>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</si>
  <si>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</si>
  <si>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</si>
  <si>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</si>
  <si>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</si>
  <si>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</si>
  <si>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</si>
  <si>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</si>
  <si>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</si>
  <si>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</si>
  <si>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</si>
  <si>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</si>
  <si>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</si>
  <si>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</si>
  <si>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</si>
  <si>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</si>
  <si>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</si>
  <si>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</si>
  <si>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</si>
  <si>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</si>
  <si>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</si>
  <si>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</si>
  <si>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</si>
  <si>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</si>
  <si>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</si>
  <si>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</si>
  <si>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</si>
  <si>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海口市</t>
  </si>
  <si>
    <t>三亚市</t>
  </si>
  <si>
    <t>三沙市</t>
  </si>
  <si>
    <t>NaN</t>
  </si>
  <si>
    <t>儋州市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</si>
  <si>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</si>
  <si>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</si>
  <si>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</si>
  <si>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</si>
  <si>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</si>
  <si>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</si>
  <si>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</si>
  <si>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</si>
  <si>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</si>
  <si>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</si>
  <si>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</si>
  <si>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</si>
  <si>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</si>
  <si>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</si>
  <si>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</si>
  <si>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</si>
  <si>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</si>
  <si>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</si>
  <si>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</si>
  <si>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</si>
  <si>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</si>
  <si>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贵阳市</t>
  </si>
  <si>
    <t>六盘水市</t>
  </si>
  <si>
    <t>遵义市</t>
  </si>
  <si>
    <t>安顺市</t>
  </si>
  <si>
    <t>毕节市</t>
  </si>
  <si>
    <t>铜仁市</t>
  </si>
  <si>
    <t>黔西南布依族苗族自治州</t>
  </si>
  <si>
    <t>黔东南苗族侗族自治州</t>
  </si>
  <si>
    <t>黔南布依族苗族自治州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</si>
  <si>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</si>
  <si>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</si>
  <si>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</si>
  <si>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</si>
  <si>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</si>
  <si>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</si>
  <si>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</si>
  <si>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</si>
  <si>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</si>
  <si>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</si>
  <si>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</si>
  <si>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</si>
  <si>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</si>
  <si>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</si>
  <si>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</si>
  <si>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</si>
  <si>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拉萨市</t>
  </si>
  <si>
    <t>日喀则市</t>
  </si>
  <si>
    <t>昌都市</t>
  </si>
  <si>
    <t>林芝市</t>
  </si>
  <si>
    <t>山南市</t>
  </si>
  <si>
    <t>那曲市</t>
  </si>
  <si>
    <t>阿里地区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</si>
  <si>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</si>
  <si>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</si>
  <si>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</si>
  <si>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</si>
  <si>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</si>
  <si>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</si>
  <si>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</si>
  <si>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</si>
  <si>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</si>
  <si>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</si>
  <si>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</si>
  <si>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</si>
  <si>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</si>
  <si>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</si>
  <si>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</si>
  <si>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</si>
  <si>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</si>
  <si>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</si>
  <si>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</si>
  <si>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</si>
  <si>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</si>
  <si>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</si>
  <si>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临夏回族自治州</t>
  </si>
  <si>
    <t>甘南藏族自治州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</si>
  <si>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</si>
  <si>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</si>
  <si>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</si>
  <si>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</si>
  <si>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</si>
  <si>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</si>
  <si>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</si>
  <si>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</si>
  <si>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</si>
  <si>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</si>
  <si>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</si>
  <si>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</si>
  <si>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</si>
  <si>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</si>
  <si>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</si>
  <si>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</si>
  <si>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</si>
  <si>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</si>
  <si>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</si>
  <si>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</si>
  <si>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</si>
  <si>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</si>
  <si>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</si>
  <si>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</si>
  <si>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</si>
  <si>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</si>
  <si>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阿勒泰地区</t>
  </si>
  <si>
    <t>北京市</t>
  </si>
  <si>
    <t>天津市</t>
  </si>
  <si>
    <t>上海市</t>
  </si>
  <si>
    <t>重庆市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</si>
</sst>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0256;&#26579;&#30149;&#23398;&#20064;&#25968;&#25454;&#22788;&#29702;\GD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enovo\Downloads\1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enovo\Downloads\2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24037;&#20316;&#31807;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地区</v>
          </cell>
          <cell r="C1" t="str">
            <v>2022年</v>
          </cell>
        </row>
        <row r="2">
          <cell r="B2" t="str">
            <v>北京市</v>
          </cell>
          <cell r="C2" t="str">
            <v>41611.0</v>
          </cell>
        </row>
        <row r="3">
          <cell r="B3" t="str">
            <v>天津市</v>
          </cell>
          <cell r="C3" t="str">
            <v>16311.0</v>
          </cell>
        </row>
        <row r="4">
          <cell r="B4" t="str">
            <v>石家庄市</v>
          </cell>
          <cell r="C4" t="str">
            <v>7101.0</v>
          </cell>
        </row>
        <row r="5">
          <cell r="B5" t="str">
            <v>唐山市</v>
          </cell>
          <cell r="C5" t="str">
            <v>8901.0</v>
          </cell>
        </row>
        <row r="6">
          <cell r="B6" t="str">
            <v>秦皇岛市</v>
          </cell>
          <cell r="C6" t="str">
            <v>1910.0</v>
          </cell>
        </row>
        <row r="7">
          <cell r="B7" t="str">
            <v>邯郸市</v>
          </cell>
          <cell r="C7" t="str">
            <v>4346.0</v>
          </cell>
        </row>
        <row r="8">
          <cell r="B8" t="str">
            <v>邢台市</v>
          </cell>
          <cell r="C8" t="str">
            <v>2547.0</v>
          </cell>
        </row>
        <row r="9">
          <cell r="B9" t="str">
            <v>保定市</v>
          </cell>
          <cell r="C9" t="str">
            <v>4608.0</v>
          </cell>
        </row>
        <row r="10">
          <cell r="B10" t="str">
            <v>张家口市</v>
          </cell>
          <cell r="C10" t="str">
            <v>1775.0</v>
          </cell>
        </row>
        <row r="11">
          <cell r="B11" t="str">
            <v>承德市</v>
          </cell>
          <cell r="C11" t="str">
            <v>1780.0</v>
          </cell>
        </row>
        <row r="12">
          <cell r="B12" t="str">
            <v>沧州市</v>
          </cell>
          <cell r="C12" t="str">
            <v>4388.0</v>
          </cell>
        </row>
        <row r="13">
          <cell r="B13" t="str">
            <v>廊坊市</v>
          </cell>
          <cell r="C13" t="str">
            <v>3565.0</v>
          </cell>
        </row>
        <row r="14">
          <cell r="B14" t="str">
            <v>衡水市</v>
          </cell>
          <cell r="C14" t="str">
            <v>1801.0</v>
          </cell>
        </row>
        <row r="15">
          <cell r="B15" t="str">
            <v>太原市</v>
          </cell>
          <cell r="C15" t="str">
            <v>5571.0</v>
          </cell>
        </row>
        <row r="16">
          <cell r="B16" t="str">
            <v>大同市</v>
          </cell>
          <cell r="C16" t="str">
            <v>1843.0</v>
          </cell>
        </row>
        <row r="17">
          <cell r="B17" t="str">
            <v>阳泉市</v>
          </cell>
          <cell r="C17" t="str">
            <v>1013.0</v>
          </cell>
        </row>
        <row r="18">
          <cell r="B18" t="str">
            <v>长治市</v>
          </cell>
          <cell r="C18" t="str">
            <v>2805.0</v>
          </cell>
        </row>
        <row r="19">
          <cell r="B19" t="str">
            <v>晋城市</v>
          </cell>
          <cell r="C19" t="str">
            <v>2305.0</v>
          </cell>
        </row>
        <row r="20">
          <cell r="B20" t="str">
            <v>朔州市</v>
          </cell>
          <cell r="C20" t="str">
            <v>1536.0</v>
          </cell>
        </row>
        <row r="21">
          <cell r="B21" t="str">
            <v>晋中市</v>
          </cell>
          <cell r="C21" t="str">
            <v>2112.0</v>
          </cell>
        </row>
        <row r="22">
          <cell r="B22" t="str">
            <v>运城市</v>
          </cell>
          <cell r="C22" t="str">
            <v>2301.0</v>
          </cell>
        </row>
        <row r="23">
          <cell r="B23" t="str">
            <v>忻州市</v>
          </cell>
          <cell r="C23" t="str">
            <v>1501.0</v>
          </cell>
        </row>
        <row r="24">
          <cell r="B24" t="str">
            <v>临汾市</v>
          </cell>
          <cell r="C24" t="str">
            <v>2228.0</v>
          </cell>
        </row>
        <row r="25">
          <cell r="B25" t="str">
            <v>吕梁市</v>
          </cell>
          <cell r="C25" t="str">
            <v>2419.0</v>
          </cell>
        </row>
        <row r="26">
          <cell r="B26" t="str">
            <v>呼和浩特市</v>
          </cell>
          <cell r="C26" t="str">
            <v>3329.0</v>
          </cell>
        </row>
        <row r="27">
          <cell r="B27" t="str">
            <v>包头市</v>
          </cell>
          <cell r="C27" t="str">
            <v>3750.0</v>
          </cell>
        </row>
        <row r="28">
          <cell r="B28" t="str">
            <v>乌海市</v>
          </cell>
          <cell r="C28" t="str">
            <v>803.0</v>
          </cell>
        </row>
        <row r="29">
          <cell r="B29" t="str">
            <v>赤峰市</v>
          </cell>
          <cell r="C29" t="str">
            <v>2148.0</v>
          </cell>
        </row>
        <row r="30">
          <cell r="B30" t="str">
            <v>通辽市</v>
          </cell>
          <cell r="C30" t="str">
            <v>1562.0</v>
          </cell>
        </row>
        <row r="31">
          <cell r="B31" t="str">
            <v>鄂尔多斯市</v>
          </cell>
          <cell r="C31" t="str">
            <v>5613.0</v>
          </cell>
        </row>
        <row r="32">
          <cell r="B32" t="str">
            <v>呼伦贝尔市</v>
          </cell>
          <cell r="C32" t="str">
            <v>1536.0</v>
          </cell>
        </row>
        <row r="33">
          <cell r="B33" t="str">
            <v>巴彦淖尔市</v>
          </cell>
          <cell r="C33" t="str">
            <v>1085.0</v>
          </cell>
        </row>
        <row r="34">
          <cell r="B34" t="str">
            <v>乌兰察布市</v>
          </cell>
          <cell r="C34" t="str">
            <v>1018.0</v>
          </cell>
        </row>
        <row r="35">
          <cell r="B35" t="str">
            <v>沈阳市</v>
          </cell>
          <cell r="C35" t="str">
            <v>7696.0</v>
          </cell>
        </row>
        <row r="36">
          <cell r="B36" t="str">
            <v>大连市</v>
          </cell>
          <cell r="C36" t="str">
            <v>8431.0</v>
          </cell>
        </row>
        <row r="37">
          <cell r="B37" t="str">
            <v>鞍山市</v>
          </cell>
          <cell r="C37" t="str">
            <v>1863.0</v>
          </cell>
        </row>
        <row r="38">
          <cell r="B38" t="str">
            <v>抚顺市</v>
          </cell>
          <cell r="C38" t="str">
            <v>928.0</v>
          </cell>
        </row>
        <row r="39">
          <cell r="B39" t="str">
            <v>本溪市</v>
          </cell>
          <cell r="C39" t="str">
            <v>931.0</v>
          </cell>
        </row>
        <row r="40">
          <cell r="B40" t="str">
            <v>丹东市</v>
          </cell>
          <cell r="C40" t="str">
            <v>891.0</v>
          </cell>
        </row>
        <row r="41">
          <cell r="B41" t="str">
            <v>锦州市</v>
          </cell>
          <cell r="C41" t="str">
            <v>1202.0</v>
          </cell>
        </row>
        <row r="42">
          <cell r="B42" t="str">
            <v>营口市</v>
          </cell>
          <cell r="C42" t="str">
            <v>1432.0</v>
          </cell>
        </row>
        <row r="43">
          <cell r="B43" t="str">
            <v>阜新市</v>
          </cell>
          <cell r="C43" t="str">
            <v>578.0</v>
          </cell>
        </row>
        <row r="44">
          <cell r="B44" t="str">
            <v>辽阳市</v>
          </cell>
          <cell r="C44" t="str">
            <v>892.0</v>
          </cell>
        </row>
        <row r="45">
          <cell r="B45" t="str">
            <v>盘锦市</v>
          </cell>
          <cell r="C45" t="str">
            <v>1394.0</v>
          </cell>
        </row>
        <row r="46">
          <cell r="B46" t="str">
            <v>铁岭市</v>
          </cell>
          <cell r="C46" t="str">
            <v>754.0</v>
          </cell>
        </row>
        <row r="47">
          <cell r="B47" t="str">
            <v>朝阳市</v>
          </cell>
          <cell r="C47" t="str">
            <v>995.0</v>
          </cell>
        </row>
        <row r="48">
          <cell r="B48" t="str">
            <v>葫芦岛市</v>
          </cell>
          <cell r="C48" t="str">
            <v>871.0</v>
          </cell>
        </row>
        <row r="49">
          <cell r="B49" t="str">
            <v>长春市</v>
          </cell>
          <cell r="C49" t="str">
            <v>6745.0</v>
          </cell>
        </row>
        <row r="50">
          <cell r="B50" t="str">
            <v>吉林市</v>
          </cell>
          <cell r="C50" t="str">
            <v>1518.0</v>
          </cell>
        </row>
        <row r="51">
          <cell r="B51" t="str">
            <v>四平市</v>
          </cell>
          <cell r="C51" t="str">
            <v>582.0</v>
          </cell>
        </row>
        <row r="52">
          <cell r="B52" t="str">
            <v>辽源市</v>
          </cell>
          <cell r="C52" t="str">
            <v>501.0</v>
          </cell>
        </row>
        <row r="53">
          <cell r="B53" t="str">
            <v>通化市</v>
          </cell>
          <cell r="C53" t="str">
            <v>591.0</v>
          </cell>
        </row>
        <row r="54">
          <cell r="B54" t="str">
            <v>白山市</v>
          </cell>
          <cell r="C54" t="str">
            <v>542.0</v>
          </cell>
        </row>
        <row r="55">
          <cell r="B55" t="str">
            <v>松原市</v>
          </cell>
          <cell r="C55" t="str">
            <v>873.0</v>
          </cell>
        </row>
        <row r="56">
          <cell r="B56" t="str">
            <v>白城市</v>
          </cell>
          <cell r="C56" t="str">
            <v>575.0</v>
          </cell>
        </row>
        <row r="57">
          <cell r="B57" t="str">
            <v>哈尔滨市</v>
          </cell>
          <cell r="C57" t="str">
            <v>5490.0</v>
          </cell>
        </row>
        <row r="58">
          <cell r="B58" t="str">
            <v>齐齐哈尔市</v>
          </cell>
          <cell r="C58" t="str">
            <v>1318.0</v>
          </cell>
        </row>
        <row r="59">
          <cell r="B59" t="str">
            <v>鸡西市</v>
          </cell>
          <cell r="C59" t="str">
            <v>665.0</v>
          </cell>
        </row>
        <row r="60">
          <cell r="B60" t="str">
            <v>鹤岗市</v>
          </cell>
          <cell r="C60" t="str">
            <v>409.0</v>
          </cell>
        </row>
        <row r="61">
          <cell r="B61" t="str">
            <v>双鸭山市</v>
          </cell>
          <cell r="C61" t="str">
            <v>557.0</v>
          </cell>
        </row>
        <row r="62">
          <cell r="B62" t="str">
            <v>大庆市</v>
          </cell>
          <cell r="C62" t="str">
            <v>2989.0</v>
          </cell>
        </row>
        <row r="63">
          <cell r="B63" t="str">
            <v>伊春市</v>
          </cell>
          <cell r="C63" t="str">
            <v>343.0</v>
          </cell>
        </row>
        <row r="64">
          <cell r="B64" t="str">
            <v>佳木斯市</v>
          </cell>
          <cell r="C64" t="str">
            <v>869.0</v>
          </cell>
        </row>
        <row r="65">
          <cell r="B65" t="str">
            <v>七台河市</v>
          </cell>
          <cell r="C65" t="str">
            <v>269.0</v>
          </cell>
        </row>
        <row r="66">
          <cell r="B66" t="str">
            <v>牡丹江市</v>
          </cell>
          <cell r="C66" t="str">
            <v>926.0</v>
          </cell>
        </row>
        <row r="67">
          <cell r="B67" t="str">
            <v>黑河市</v>
          </cell>
          <cell r="C67" t="str">
            <v>660.0</v>
          </cell>
        </row>
        <row r="68">
          <cell r="B68" t="str">
            <v>绥化市</v>
          </cell>
          <cell r="C68" t="str">
            <v>1238.0</v>
          </cell>
        </row>
        <row r="69">
          <cell r="B69" t="str">
            <v>上海市</v>
          </cell>
          <cell r="C69" t="str">
            <v>44653.0</v>
          </cell>
        </row>
        <row r="70">
          <cell r="B70" t="str">
            <v>南京市</v>
          </cell>
          <cell r="C70" t="str">
            <v>16908.0</v>
          </cell>
        </row>
        <row r="71">
          <cell r="B71" t="str">
            <v>无锡市</v>
          </cell>
          <cell r="C71" t="str">
            <v>14851.0</v>
          </cell>
        </row>
        <row r="72">
          <cell r="B72" t="str">
            <v>徐州市</v>
          </cell>
          <cell r="C72" t="str">
            <v>8458.0</v>
          </cell>
        </row>
        <row r="73">
          <cell r="B73" t="str">
            <v>常州市</v>
          </cell>
          <cell r="C73" t="str">
            <v>9550.0</v>
          </cell>
        </row>
        <row r="74">
          <cell r="B74" t="str">
            <v>苏州市</v>
          </cell>
          <cell r="C74" t="str">
            <v>23958.0</v>
          </cell>
        </row>
        <row r="75">
          <cell r="B75" t="str">
            <v>南通市</v>
          </cell>
          <cell r="C75" t="str">
            <v>11380.0</v>
          </cell>
        </row>
        <row r="76">
          <cell r="B76" t="str">
            <v>连云港市</v>
          </cell>
          <cell r="C76" t="str">
            <v>4005.0</v>
          </cell>
        </row>
        <row r="77">
          <cell r="B77" t="str">
            <v>淮安市</v>
          </cell>
          <cell r="C77" t="str">
            <v>4742.0</v>
          </cell>
        </row>
        <row r="78">
          <cell r="B78" t="str">
            <v>盐城市</v>
          </cell>
          <cell r="C78" t="str">
            <v>7080.0</v>
          </cell>
        </row>
        <row r="79">
          <cell r="B79" t="str">
            <v>扬州市</v>
          </cell>
          <cell r="C79" t="str">
            <v>7105.0</v>
          </cell>
        </row>
        <row r="80">
          <cell r="B80" t="str">
            <v>镇江市</v>
          </cell>
          <cell r="C80" t="str">
            <v>5017.0</v>
          </cell>
        </row>
        <row r="81">
          <cell r="B81" t="str">
            <v>泰州市</v>
          </cell>
          <cell r="C81" t="str">
            <v>6402.0</v>
          </cell>
        </row>
        <row r="82">
          <cell r="B82" t="str">
            <v>宿迁市</v>
          </cell>
          <cell r="C82" t="str">
            <v>4112.0</v>
          </cell>
        </row>
        <row r="83">
          <cell r="B83" t="str">
            <v>杭州市</v>
          </cell>
          <cell r="C83" t="str">
            <v>18753.0</v>
          </cell>
        </row>
        <row r="84">
          <cell r="B84" t="str">
            <v>宁波市</v>
          </cell>
          <cell r="C84" t="str">
            <v>15704.0</v>
          </cell>
        </row>
        <row r="85">
          <cell r="B85" t="str">
            <v>温州市</v>
          </cell>
          <cell r="C85" t="str">
            <v>8030.0</v>
          </cell>
        </row>
        <row r="86">
          <cell r="B86" t="str">
            <v>嘉兴市</v>
          </cell>
          <cell r="C86" t="str">
            <v>6739.0</v>
          </cell>
        </row>
        <row r="87">
          <cell r="B87" t="str">
            <v>湖州市</v>
          </cell>
          <cell r="C87" t="str">
            <v>3850.0</v>
          </cell>
        </row>
        <row r="88">
          <cell r="B88" t="str">
            <v>绍兴市</v>
          </cell>
          <cell r="C88" t="str">
            <v>7351.0</v>
          </cell>
        </row>
        <row r="89">
          <cell r="B89" t="str">
            <v>金华市</v>
          </cell>
          <cell r="C89" t="str">
            <v>5562.0</v>
          </cell>
        </row>
        <row r="90">
          <cell r="B90" t="str">
            <v>衢州市</v>
          </cell>
          <cell r="C90" t="str">
            <v>2003.0</v>
          </cell>
        </row>
        <row r="91">
          <cell r="B91" t="str">
            <v>舟山市</v>
          </cell>
          <cell r="C91" t="str">
            <v>1951.0</v>
          </cell>
        </row>
        <row r="92">
          <cell r="B92" t="str">
            <v>台州市</v>
          </cell>
          <cell r="C92" t="str">
            <v>6041.0</v>
          </cell>
        </row>
        <row r="93">
          <cell r="B93" t="str">
            <v>丽水市</v>
          </cell>
          <cell r="C93" t="str">
            <v>1831.0</v>
          </cell>
        </row>
        <row r="94">
          <cell r="B94" t="str">
            <v>合肥市</v>
          </cell>
          <cell r="C94" t="str">
            <v>12013.0</v>
          </cell>
        </row>
        <row r="95">
          <cell r="B95" t="str">
            <v>芜湖市</v>
          </cell>
          <cell r="C95" t="str">
            <v>4502.0</v>
          </cell>
        </row>
        <row r="96">
          <cell r="B96" t="str">
            <v>蚌埠市</v>
          </cell>
          <cell r="C96" t="str">
            <v>2012.0</v>
          </cell>
        </row>
        <row r="97">
          <cell r="B97" t="str">
            <v>淮南市</v>
          </cell>
          <cell r="C97" t="str">
            <v>1541.0</v>
          </cell>
        </row>
        <row r="98">
          <cell r="B98" t="str">
            <v>马鞍山市</v>
          </cell>
          <cell r="C98" t="str">
            <v>2521.0</v>
          </cell>
        </row>
        <row r="99">
          <cell r="B99" t="str">
            <v>淮北市</v>
          </cell>
          <cell r="C99" t="str">
            <v>1303.0</v>
          </cell>
        </row>
        <row r="100">
          <cell r="B100" t="str">
            <v>铜陵市</v>
          </cell>
          <cell r="C100" t="str">
            <v>1210.0</v>
          </cell>
        </row>
        <row r="101">
          <cell r="B101" t="str">
            <v>安庆市</v>
          </cell>
          <cell r="C101" t="str">
            <v>2767.0</v>
          </cell>
        </row>
        <row r="102">
          <cell r="B102" t="str">
            <v>黄山市</v>
          </cell>
          <cell r="C102" t="str">
            <v>1002.0</v>
          </cell>
        </row>
        <row r="103">
          <cell r="B103" t="str">
            <v>滁州市</v>
          </cell>
          <cell r="C103" t="str">
            <v>3610.0</v>
          </cell>
        </row>
        <row r="104">
          <cell r="B104" t="str">
            <v>阜阳市</v>
          </cell>
          <cell r="C104" t="str">
            <v>3233.0</v>
          </cell>
        </row>
        <row r="105">
          <cell r="B105" t="str">
            <v>宿州市</v>
          </cell>
          <cell r="C105" t="str">
            <v>2225.0</v>
          </cell>
        </row>
        <row r="106">
          <cell r="B106" t="str">
            <v>六安市</v>
          </cell>
          <cell r="C106" t="str">
            <v>2005.0</v>
          </cell>
        </row>
        <row r="107">
          <cell r="B107" t="str">
            <v>亳州市</v>
          </cell>
          <cell r="C107" t="str">
            <v>2102.0</v>
          </cell>
        </row>
        <row r="108">
          <cell r="B108" t="str">
            <v>池州市</v>
          </cell>
          <cell r="C108" t="str">
            <v>1079.0</v>
          </cell>
        </row>
        <row r="109">
          <cell r="B109" t="str">
            <v>宣城市</v>
          </cell>
          <cell r="C109" t="str">
            <v>1914.0</v>
          </cell>
        </row>
        <row r="110">
          <cell r="B110" t="str">
            <v>福州市</v>
          </cell>
          <cell r="C110" t="str">
            <v>12308.0</v>
          </cell>
        </row>
        <row r="111">
          <cell r="B111" t="str">
            <v>厦门市</v>
          </cell>
          <cell r="C111" t="str">
            <v>7803.0</v>
          </cell>
        </row>
        <row r="112">
          <cell r="B112" t="str">
            <v>莆田市</v>
          </cell>
          <cell r="C112" t="str">
            <v>3116.0</v>
          </cell>
        </row>
        <row r="113">
          <cell r="B113" t="str">
            <v>三明市</v>
          </cell>
          <cell r="C113" t="str">
            <v>3110.0</v>
          </cell>
        </row>
        <row r="114">
          <cell r="B114" t="str">
            <v>泉州市</v>
          </cell>
          <cell r="C114" t="str">
            <v>12103.0</v>
          </cell>
        </row>
        <row r="115">
          <cell r="B115" t="str">
            <v>漳州市</v>
          </cell>
          <cell r="C115" t="str">
            <v>5707.0</v>
          </cell>
        </row>
        <row r="116">
          <cell r="B116" t="str">
            <v>南平市</v>
          </cell>
          <cell r="C116" t="str">
            <v>2212.0</v>
          </cell>
        </row>
        <row r="117">
          <cell r="B117" t="str">
            <v>龙岩市</v>
          </cell>
          <cell r="C117" t="str">
            <v>3314.0</v>
          </cell>
        </row>
        <row r="118">
          <cell r="B118" t="str">
            <v>宁德市</v>
          </cell>
          <cell r="C118" t="str">
            <v>3555.0</v>
          </cell>
        </row>
        <row r="119">
          <cell r="B119" t="str">
            <v>南昌市</v>
          </cell>
          <cell r="C119" t="str">
            <v>7204.0</v>
          </cell>
        </row>
        <row r="120">
          <cell r="B120" t="str">
            <v>景德镇市</v>
          </cell>
          <cell r="C120" t="str">
            <v>1192.0</v>
          </cell>
        </row>
        <row r="121">
          <cell r="B121" t="str">
            <v>萍乡市</v>
          </cell>
          <cell r="C121" t="str">
            <v>1160.0</v>
          </cell>
        </row>
        <row r="122">
          <cell r="B122" t="str">
            <v>九江市</v>
          </cell>
          <cell r="C122" t="str">
            <v>4027.0</v>
          </cell>
        </row>
        <row r="123">
          <cell r="B123" t="str">
            <v>新余市</v>
          </cell>
          <cell r="C123" t="str">
            <v>1252.0</v>
          </cell>
        </row>
        <row r="124">
          <cell r="B124" t="str">
            <v>鹰潭市</v>
          </cell>
          <cell r="C124" t="str">
            <v>1238.0</v>
          </cell>
        </row>
        <row r="125">
          <cell r="B125" t="str">
            <v>赣州市</v>
          </cell>
          <cell r="C125" t="str">
            <v>4524.0</v>
          </cell>
        </row>
        <row r="126">
          <cell r="B126" t="str">
            <v>吉安市</v>
          </cell>
          <cell r="C126" t="str">
            <v>2750.0</v>
          </cell>
        </row>
        <row r="127">
          <cell r="B127" t="str">
            <v>宜春市</v>
          </cell>
          <cell r="C127" t="str">
            <v>3473.0</v>
          </cell>
        </row>
        <row r="128">
          <cell r="B128" t="str">
            <v>抚州市</v>
          </cell>
          <cell r="C128" t="str">
            <v>1946.0</v>
          </cell>
        </row>
        <row r="129">
          <cell r="B129" t="str">
            <v>上饶市</v>
          </cell>
          <cell r="C129" t="str">
            <v>3310.0</v>
          </cell>
        </row>
        <row r="130">
          <cell r="B130" t="str">
            <v>济南市</v>
          </cell>
          <cell r="C130" t="str">
            <v>12027.0</v>
          </cell>
        </row>
        <row r="131">
          <cell r="B131" t="str">
            <v>青岛市</v>
          </cell>
          <cell r="C131" t="str">
            <v>14921.0</v>
          </cell>
        </row>
        <row r="132">
          <cell r="B132" t="str">
            <v>淄博市</v>
          </cell>
          <cell r="C132" t="str">
            <v>4403.0</v>
          </cell>
        </row>
        <row r="133">
          <cell r="B133" t="str">
            <v>枣庄市</v>
          </cell>
          <cell r="C133" t="str">
            <v>2039.0</v>
          </cell>
        </row>
        <row r="134">
          <cell r="B134" t="str">
            <v>东营市</v>
          </cell>
          <cell r="C134" t="str">
            <v>3621.0</v>
          </cell>
        </row>
        <row r="135">
          <cell r="B135" t="str">
            <v>烟台市</v>
          </cell>
          <cell r="C135" t="str">
            <v>9516.0</v>
          </cell>
        </row>
        <row r="136">
          <cell r="B136" t="str">
            <v>潍坊市</v>
          </cell>
          <cell r="C136" t="str">
            <v>7306.0</v>
          </cell>
        </row>
        <row r="137">
          <cell r="B137" t="str">
            <v>济宁市</v>
          </cell>
          <cell r="C137" t="str">
            <v>5317.0</v>
          </cell>
        </row>
        <row r="138">
          <cell r="B138" t="str">
            <v>泰安市</v>
          </cell>
          <cell r="C138" t="str">
            <v>3198.0</v>
          </cell>
        </row>
        <row r="139">
          <cell r="B139" t="str">
            <v>威海市</v>
          </cell>
          <cell r="C139" t="str">
            <v>3408.0</v>
          </cell>
        </row>
        <row r="140">
          <cell r="B140" t="str">
            <v>日照市</v>
          </cell>
          <cell r="C140" t="str">
            <v>2307.0</v>
          </cell>
        </row>
        <row r="141">
          <cell r="B141" t="str">
            <v>临沂市</v>
          </cell>
          <cell r="C141" t="str">
            <v>5779.0</v>
          </cell>
        </row>
        <row r="142">
          <cell r="B142" t="str">
            <v>德州市</v>
          </cell>
          <cell r="C142" t="str">
            <v>3633.0</v>
          </cell>
        </row>
        <row r="143">
          <cell r="B143" t="str">
            <v>聊城市</v>
          </cell>
          <cell r="C143" t="str">
            <v>2780.0</v>
          </cell>
        </row>
        <row r="144">
          <cell r="B144" t="str">
            <v>滨州市</v>
          </cell>
          <cell r="C144" t="str">
            <v>2975.0</v>
          </cell>
        </row>
        <row r="145">
          <cell r="B145" t="str">
            <v>菏泽市</v>
          </cell>
          <cell r="C145" t="str">
            <v>4205.0</v>
          </cell>
        </row>
        <row r="146">
          <cell r="B146" t="str">
            <v>郑州市</v>
          </cell>
          <cell r="C146" t="str">
            <v>12935.0</v>
          </cell>
        </row>
        <row r="147">
          <cell r="B147" t="str">
            <v>开封市</v>
          </cell>
          <cell r="C147" t="str">
            <v>2657.0</v>
          </cell>
        </row>
        <row r="148">
          <cell r="B148" t="str">
            <v>洛阳市</v>
          </cell>
          <cell r="C148" t="str">
            <v>5675.0</v>
          </cell>
        </row>
        <row r="149">
          <cell r="B149" t="str">
            <v>平顶山市</v>
          </cell>
          <cell r="C149" t="str">
            <v>2839.0</v>
          </cell>
        </row>
        <row r="150">
          <cell r="B150" t="str">
            <v>安阳市</v>
          </cell>
          <cell r="C150" t="str">
            <v>2512.0</v>
          </cell>
        </row>
        <row r="151">
          <cell r="B151" t="str">
            <v>鹤壁市</v>
          </cell>
          <cell r="C151" t="str">
            <v>1107.0</v>
          </cell>
        </row>
        <row r="152">
          <cell r="B152" t="str">
            <v>新乡市</v>
          </cell>
          <cell r="C152" t="str">
            <v>3464.0</v>
          </cell>
        </row>
        <row r="153">
          <cell r="B153" t="str">
            <v>焦作市</v>
          </cell>
          <cell r="C153" t="str">
            <v>2235.0</v>
          </cell>
        </row>
        <row r="154">
          <cell r="B154" t="str">
            <v>濮阳市</v>
          </cell>
          <cell r="C154" t="str">
            <v>1890.0</v>
          </cell>
        </row>
        <row r="155">
          <cell r="B155" t="str">
            <v>许昌市</v>
          </cell>
          <cell r="C155" t="str">
            <v>3747.0</v>
          </cell>
        </row>
        <row r="156">
          <cell r="B156" t="str">
            <v>漯河市</v>
          </cell>
          <cell r="C156" t="str">
            <v>1813.0</v>
          </cell>
        </row>
        <row r="157">
          <cell r="B157" t="str">
            <v>三门峡市</v>
          </cell>
          <cell r="C157" t="str">
            <v>1676.0</v>
          </cell>
        </row>
        <row r="158">
          <cell r="B158" t="str">
            <v>南阳市</v>
          </cell>
          <cell r="C158" t="str">
            <v>4555.0</v>
          </cell>
        </row>
        <row r="159">
          <cell r="B159" t="str">
            <v>商丘市</v>
          </cell>
          <cell r="C159" t="str">
            <v>3263.0</v>
          </cell>
        </row>
        <row r="160">
          <cell r="B160" t="str">
            <v>信阳市</v>
          </cell>
          <cell r="C160" t="str">
            <v>3196.0</v>
          </cell>
        </row>
        <row r="161">
          <cell r="B161" t="str">
            <v>周口市</v>
          </cell>
          <cell r="C161" t="str">
            <v>3617.0</v>
          </cell>
        </row>
        <row r="162">
          <cell r="B162" t="str">
            <v>驻马店市</v>
          </cell>
          <cell r="C162" t="str">
            <v>3257.0</v>
          </cell>
        </row>
        <row r="163">
          <cell r="B163" t="str">
            <v>武汉市</v>
          </cell>
          <cell r="C163" t="str">
            <v>18866.0</v>
          </cell>
        </row>
        <row r="164">
          <cell r="B164" t="str">
            <v>黄石市</v>
          </cell>
          <cell r="C164" t="str">
            <v>2042.0</v>
          </cell>
        </row>
        <row r="165">
          <cell r="B165" t="str">
            <v>十堰市</v>
          </cell>
          <cell r="C165" t="str">
            <v>2305.0</v>
          </cell>
        </row>
        <row r="166">
          <cell r="B166" t="str">
            <v>宜昌市</v>
          </cell>
          <cell r="C166" t="str">
            <v>5503.0</v>
          </cell>
        </row>
        <row r="167">
          <cell r="B167" t="str">
            <v>襄阳市</v>
          </cell>
          <cell r="C167" t="str">
            <v>5828.0</v>
          </cell>
        </row>
        <row r="168">
          <cell r="B168" t="str">
            <v>鄂州市</v>
          </cell>
          <cell r="C168" t="str">
            <v>1265.0</v>
          </cell>
        </row>
        <row r="169">
          <cell r="B169" t="str">
            <v>荆门市</v>
          </cell>
          <cell r="C169" t="str">
            <v>2201.0</v>
          </cell>
        </row>
        <row r="170">
          <cell r="B170" t="str">
            <v>孝感市</v>
          </cell>
          <cell r="C170" t="str">
            <v>2777.0</v>
          </cell>
        </row>
        <row r="171">
          <cell r="B171" t="str">
            <v>荆州市</v>
          </cell>
          <cell r="C171" t="str">
            <v>3009.0</v>
          </cell>
        </row>
        <row r="172">
          <cell r="B172" t="str">
            <v>黄冈市</v>
          </cell>
          <cell r="C172" t="str">
            <v>2748.0</v>
          </cell>
        </row>
        <row r="173">
          <cell r="B173" t="str">
            <v>咸宁市</v>
          </cell>
          <cell r="C173" t="str">
            <v>1876.0</v>
          </cell>
        </row>
        <row r="174">
          <cell r="B174" t="str">
            <v>随州市</v>
          </cell>
          <cell r="C174" t="str">
            <v>1329.0</v>
          </cell>
        </row>
        <row r="175">
          <cell r="B175" t="str">
            <v>福州市</v>
          </cell>
          <cell r="C175" t="str">
            <v>12308.0</v>
          </cell>
        </row>
        <row r="176">
          <cell r="B176" t="str">
            <v>厦门市</v>
          </cell>
          <cell r="C176" t="str">
            <v>7803.0</v>
          </cell>
        </row>
        <row r="177">
          <cell r="B177" t="str">
            <v>莆田市</v>
          </cell>
          <cell r="C177" t="str">
            <v>3116.0</v>
          </cell>
        </row>
        <row r="178">
          <cell r="B178" t="str">
            <v>三明市</v>
          </cell>
          <cell r="C178" t="str">
            <v>3110.0</v>
          </cell>
        </row>
        <row r="179">
          <cell r="B179" t="str">
            <v>泉州市</v>
          </cell>
          <cell r="C179" t="str">
            <v>12103.0</v>
          </cell>
        </row>
        <row r="180">
          <cell r="B180" t="str">
            <v>漳州市</v>
          </cell>
          <cell r="C180" t="str">
            <v>5707.0</v>
          </cell>
        </row>
        <row r="181">
          <cell r="B181" t="str">
            <v>南平市</v>
          </cell>
          <cell r="C181" t="str">
            <v>2212.0</v>
          </cell>
        </row>
        <row r="182">
          <cell r="B182" t="str">
            <v>龙岩市</v>
          </cell>
          <cell r="C182" t="str">
            <v>3314.0</v>
          </cell>
        </row>
        <row r="183">
          <cell r="B183" t="str">
            <v>宁德市</v>
          </cell>
          <cell r="C183" t="str">
            <v>3555.0</v>
          </cell>
        </row>
        <row r="184">
          <cell r="B184" t="str">
            <v>南昌市</v>
          </cell>
          <cell r="C184" t="str">
            <v>7204.0</v>
          </cell>
        </row>
        <row r="185">
          <cell r="B185" t="str">
            <v>景德镇市</v>
          </cell>
          <cell r="C185" t="str">
            <v>1192.0</v>
          </cell>
        </row>
        <row r="186">
          <cell r="B186" t="str">
            <v>萍乡市</v>
          </cell>
          <cell r="C186" t="str">
            <v>1160.0</v>
          </cell>
        </row>
        <row r="187">
          <cell r="B187" t="str">
            <v>九江市</v>
          </cell>
          <cell r="C187" t="str">
            <v>4027.0</v>
          </cell>
        </row>
        <row r="188">
          <cell r="B188" t="str">
            <v>新余市</v>
          </cell>
          <cell r="C188" t="str">
            <v>1252.0</v>
          </cell>
        </row>
        <row r="189">
          <cell r="B189" t="str">
            <v>鹰潭市</v>
          </cell>
          <cell r="C189" t="str">
            <v>1238.0</v>
          </cell>
        </row>
        <row r="190">
          <cell r="B190" t="str">
            <v>赣州市</v>
          </cell>
          <cell r="C190" t="str">
            <v>4524.0</v>
          </cell>
        </row>
        <row r="191">
          <cell r="B191" t="str">
            <v>吉安市</v>
          </cell>
          <cell r="C191" t="str">
            <v>2750.0</v>
          </cell>
        </row>
        <row r="192">
          <cell r="B192" t="str">
            <v>宜春市</v>
          </cell>
          <cell r="C192" t="str">
            <v>3473.0</v>
          </cell>
        </row>
        <row r="193">
          <cell r="B193" t="str">
            <v>抚州市</v>
          </cell>
          <cell r="C193" t="str">
            <v>1946.0</v>
          </cell>
        </row>
        <row r="194">
          <cell r="B194" t="str">
            <v>上饶市</v>
          </cell>
          <cell r="C194" t="str">
            <v>3310.0</v>
          </cell>
        </row>
        <row r="195">
          <cell r="B195" t="str">
            <v>济南市</v>
          </cell>
          <cell r="C195" t="str">
            <v>12027.0</v>
          </cell>
        </row>
        <row r="196">
          <cell r="B196" t="str">
            <v>青岛市</v>
          </cell>
          <cell r="C196" t="str">
            <v>14921.0</v>
          </cell>
        </row>
        <row r="197">
          <cell r="B197" t="str">
            <v>淄博市</v>
          </cell>
          <cell r="C197" t="str">
            <v>4403.0</v>
          </cell>
        </row>
        <row r="198">
          <cell r="B198" t="str">
            <v>枣庄市</v>
          </cell>
          <cell r="C198" t="str">
            <v>2039.0</v>
          </cell>
        </row>
        <row r="199">
          <cell r="B199" t="str">
            <v>东营市</v>
          </cell>
          <cell r="C199" t="str">
            <v>3621.0</v>
          </cell>
        </row>
        <row r="200">
          <cell r="B200" t="str">
            <v>烟台市</v>
          </cell>
          <cell r="C200" t="str">
            <v>9516.0</v>
          </cell>
        </row>
        <row r="201">
          <cell r="B201" t="str">
            <v>潍坊市</v>
          </cell>
          <cell r="C201" t="str">
            <v>7306.0</v>
          </cell>
        </row>
        <row r="202">
          <cell r="B202" t="str">
            <v>济宁市</v>
          </cell>
          <cell r="C202" t="str">
            <v>5317.0</v>
          </cell>
        </row>
        <row r="203">
          <cell r="B203" t="str">
            <v>泰安市</v>
          </cell>
          <cell r="C203" t="str">
            <v>3198.0</v>
          </cell>
        </row>
        <row r="204">
          <cell r="B204" t="str">
            <v>威海市</v>
          </cell>
          <cell r="C204" t="str">
            <v>3408.0</v>
          </cell>
        </row>
        <row r="205">
          <cell r="B205" t="str">
            <v>日照市</v>
          </cell>
          <cell r="C205" t="str">
            <v>2307.0</v>
          </cell>
        </row>
        <row r="206">
          <cell r="B206" t="str">
            <v>临沂市</v>
          </cell>
          <cell r="C206" t="str">
            <v>5779.0</v>
          </cell>
        </row>
        <row r="207">
          <cell r="B207" t="str">
            <v>德州市</v>
          </cell>
          <cell r="C207" t="str">
            <v>3633.0</v>
          </cell>
        </row>
        <row r="208">
          <cell r="B208" t="str">
            <v>聊城市</v>
          </cell>
          <cell r="C208" t="str">
            <v>2780.0</v>
          </cell>
        </row>
        <row r="209">
          <cell r="B209" t="str">
            <v>滨州市</v>
          </cell>
          <cell r="C209" t="str">
            <v>2975.0</v>
          </cell>
        </row>
        <row r="210">
          <cell r="B210" t="str">
            <v>菏泽市</v>
          </cell>
          <cell r="C210" t="str">
            <v>4205.0</v>
          </cell>
        </row>
        <row r="211">
          <cell r="B211" t="str">
            <v>郑州市</v>
          </cell>
          <cell r="C211" t="str">
            <v>12935.0</v>
          </cell>
        </row>
        <row r="212">
          <cell r="B212" t="str">
            <v>开封市</v>
          </cell>
          <cell r="C212" t="str">
            <v>2657.0</v>
          </cell>
        </row>
        <row r="213">
          <cell r="B213" t="str">
            <v>洛阳市</v>
          </cell>
          <cell r="C213" t="str">
            <v>5675.0</v>
          </cell>
        </row>
        <row r="214">
          <cell r="B214" t="str">
            <v>平顶山市</v>
          </cell>
          <cell r="C214" t="str">
            <v>2839.0</v>
          </cell>
        </row>
        <row r="215">
          <cell r="B215" t="str">
            <v>安阳市</v>
          </cell>
          <cell r="C215" t="str">
            <v>2512.0</v>
          </cell>
        </row>
        <row r="216">
          <cell r="B216" t="str">
            <v>鹤壁市</v>
          </cell>
          <cell r="C216" t="str">
            <v>1107.0</v>
          </cell>
        </row>
        <row r="217">
          <cell r="B217" t="str">
            <v>新乡市</v>
          </cell>
          <cell r="C217" t="str">
            <v>3464.0</v>
          </cell>
        </row>
        <row r="218">
          <cell r="B218" t="str">
            <v>焦作市</v>
          </cell>
          <cell r="C218" t="str">
            <v>2235.0</v>
          </cell>
        </row>
        <row r="219">
          <cell r="B219" t="str">
            <v>濮阳市</v>
          </cell>
          <cell r="C219" t="str">
            <v>1890.0</v>
          </cell>
        </row>
        <row r="220">
          <cell r="B220" t="str">
            <v>许昌市</v>
          </cell>
          <cell r="C220" t="str">
            <v>3747.0</v>
          </cell>
        </row>
        <row r="221">
          <cell r="B221" t="str">
            <v>漯河市</v>
          </cell>
          <cell r="C221" t="str">
            <v>1813.0</v>
          </cell>
        </row>
        <row r="222">
          <cell r="B222" t="str">
            <v>三门峡市</v>
          </cell>
          <cell r="C222" t="str">
            <v>1676.0</v>
          </cell>
        </row>
        <row r="223">
          <cell r="B223" t="str">
            <v>南阳市</v>
          </cell>
          <cell r="C223" t="str">
            <v>4555.0</v>
          </cell>
        </row>
        <row r="224">
          <cell r="B224" t="str">
            <v>商丘市</v>
          </cell>
          <cell r="C224" t="str">
            <v>3263.0</v>
          </cell>
        </row>
        <row r="225">
          <cell r="B225" t="str">
            <v>信阳市</v>
          </cell>
          <cell r="C225" t="str">
            <v>3196.0</v>
          </cell>
        </row>
        <row r="226">
          <cell r="B226" t="str">
            <v>周口市</v>
          </cell>
          <cell r="C226" t="str">
            <v>3617.0</v>
          </cell>
        </row>
        <row r="227">
          <cell r="B227" t="str">
            <v>驻马店市</v>
          </cell>
          <cell r="C227" t="str">
            <v>3257.0</v>
          </cell>
        </row>
        <row r="228">
          <cell r="B228" t="str">
            <v>武汉市</v>
          </cell>
          <cell r="C228" t="str">
            <v>18866.0</v>
          </cell>
        </row>
        <row r="229">
          <cell r="B229" t="str">
            <v>黄石市</v>
          </cell>
          <cell r="C229" t="str">
            <v>2042.0</v>
          </cell>
        </row>
        <row r="230">
          <cell r="B230" t="str">
            <v>十堰市</v>
          </cell>
          <cell r="C230" t="str">
            <v>2305.0</v>
          </cell>
        </row>
        <row r="231">
          <cell r="B231" t="str">
            <v>宜昌市</v>
          </cell>
          <cell r="C231" t="str">
            <v>5503.0</v>
          </cell>
        </row>
        <row r="232">
          <cell r="B232" t="str">
            <v>襄阳市</v>
          </cell>
          <cell r="C232" t="str">
            <v>5828.0</v>
          </cell>
        </row>
        <row r="233">
          <cell r="B233" t="str">
            <v>鄂州市</v>
          </cell>
          <cell r="C233" t="str">
            <v>1265.0</v>
          </cell>
        </row>
        <row r="234">
          <cell r="B234" t="str">
            <v>荆门市</v>
          </cell>
          <cell r="C234" t="str">
            <v>2201.0</v>
          </cell>
        </row>
        <row r="235">
          <cell r="B235" t="str">
            <v>孝感市</v>
          </cell>
          <cell r="C235" t="str">
            <v>2777.0</v>
          </cell>
        </row>
        <row r="236">
          <cell r="B236" t="str">
            <v>荆州市</v>
          </cell>
          <cell r="C236" t="str">
            <v>3009.0</v>
          </cell>
        </row>
        <row r="237">
          <cell r="B237" t="str">
            <v>黄冈市</v>
          </cell>
          <cell r="C237" t="str">
            <v>2748.0</v>
          </cell>
        </row>
        <row r="238">
          <cell r="B238" t="str">
            <v>咸宁市</v>
          </cell>
          <cell r="C238" t="str">
            <v>1876.0</v>
          </cell>
        </row>
        <row r="239">
          <cell r="B239" t="str">
            <v>随州市</v>
          </cell>
          <cell r="C239" t="str">
            <v>1329.0</v>
          </cell>
        </row>
        <row r="240">
          <cell r="B240" t="str">
            <v>成都市</v>
          </cell>
          <cell r="C240" t="str">
            <v>20818.0</v>
          </cell>
        </row>
        <row r="241">
          <cell r="B241" t="str">
            <v>自贡市</v>
          </cell>
          <cell r="C241" t="str">
            <v>1638.0</v>
          </cell>
        </row>
        <row r="242">
          <cell r="B242" t="str">
            <v>攀枝花市</v>
          </cell>
          <cell r="C242" t="str">
            <v>1221.0</v>
          </cell>
        </row>
        <row r="243">
          <cell r="B243" t="str">
            <v>泸州市</v>
          </cell>
          <cell r="C243" t="str">
            <v>2602.0</v>
          </cell>
        </row>
        <row r="244">
          <cell r="B244" t="str">
            <v>德阳市</v>
          </cell>
          <cell r="C244" t="str">
            <v>2817.0</v>
          </cell>
        </row>
        <row r="245">
          <cell r="B245" t="str">
            <v>绵阳市</v>
          </cell>
          <cell r="C245" t="str">
            <v>3627.0</v>
          </cell>
        </row>
        <row r="246">
          <cell r="B246" t="str">
            <v>广元市</v>
          </cell>
          <cell r="C246" t="str">
            <v>1140.0</v>
          </cell>
        </row>
        <row r="247">
          <cell r="B247" t="str">
            <v>遂宁市</v>
          </cell>
          <cell r="C247" t="str">
            <v>1614.0</v>
          </cell>
        </row>
        <row r="248">
          <cell r="B248" t="str">
            <v>内江市</v>
          </cell>
          <cell r="C248" t="str">
            <v>1657.0</v>
          </cell>
        </row>
        <row r="249">
          <cell r="B249" t="str">
            <v>乐山市</v>
          </cell>
          <cell r="C249" t="str">
            <v>2309.0</v>
          </cell>
        </row>
        <row r="250">
          <cell r="B250" t="str">
            <v>南充市</v>
          </cell>
          <cell r="C250" t="str">
            <v>2685.0</v>
          </cell>
        </row>
        <row r="251">
          <cell r="B251" t="str">
            <v>眉山市</v>
          </cell>
          <cell r="C251" t="str">
            <v>1636.0</v>
          </cell>
        </row>
        <row r="252">
          <cell r="B252" t="str">
            <v>宜宾市</v>
          </cell>
          <cell r="C252" t="str">
            <v>3428.0</v>
          </cell>
        </row>
        <row r="253">
          <cell r="B253" t="str">
            <v>广安市</v>
          </cell>
          <cell r="C253" t="str">
            <v>1425.0</v>
          </cell>
        </row>
        <row r="254">
          <cell r="B254" t="str">
            <v>达州市</v>
          </cell>
          <cell r="C254" t="str">
            <v>2503.0</v>
          </cell>
        </row>
        <row r="255">
          <cell r="B255" t="str">
            <v>雅安市</v>
          </cell>
          <cell r="C255" t="str">
            <v>903.0</v>
          </cell>
        </row>
        <row r="256">
          <cell r="B256" t="str">
            <v>巴中市</v>
          </cell>
          <cell r="C256" t="str">
            <v>765.0</v>
          </cell>
        </row>
        <row r="257">
          <cell r="B257" t="str">
            <v>资阳市</v>
          </cell>
          <cell r="C257" t="str">
            <v>948.0</v>
          </cell>
        </row>
        <row r="258">
          <cell r="B258" t="str">
            <v>贵阳市</v>
          </cell>
          <cell r="C258" t="str">
            <v>4921.0</v>
          </cell>
        </row>
        <row r="259">
          <cell r="B259" t="str">
            <v>六盘水市</v>
          </cell>
          <cell r="C259" t="str">
            <v>1504.0</v>
          </cell>
        </row>
        <row r="260">
          <cell r="B260" t="str">
            <v>遵义市</v>
          </cell>
          <cell r="C260" t="str">
            <v>4401.0</v>
          </cell>
        </row>
        <row r="261">
          <cell r="B261" t="str">
            <v>安顺市</v>
          </cell>
          <cell r="C261" t="str">
            <v>1081.0</v>
          </cell>
        </row>
        <row r="262">
          <cell r="B262" t="str">
            <v>毕节市</v>
          </cell>
          <cell r="C262" t="str">
            <v>2207.0</v>
          </cell>
        </row>
        <row r="263">
          <cell r="B263" t="str">
            <v>铜仁市</v>
          </cell>
          <cell r="C263" t="str">
            <v>1477.0</v>
          </cell>
        </row>
        <row r="264">
          <cell r="B264" t="str">
            <v>昆明市</v>
          </cell>
          <cell r="C264" t="str">
            <v>7541.0</v>
          </cell>
        </row>
        <row r="265">
          <cell r="B265" t="str">
            <v>曲靖市</v>
          </cell>
          <cell r="C265" t="str">
            <v>3802.0</v>
          </cell>
        </row>
        <row r="266">
          <cell r="B266" t="str">
            <v>玉溪市</v>
          </cell>
          <cell r="C266" t="str">
            <v>2521.0</v>
          </cell>
        </row>
        <row r="267">
          <cell r="B267" t="str">
            <v>保山市</v>
          </cell>
          <cell r="C267" t="str">
            <v>1262.0</v>
          </cell>
        </row>
        <row r="268">
          <cell r="B268" t="str">
            <v>昭通市</v>
          </cell>
          <cell r="C268" t="str">
            <v>1541.0</v>
          </cell>
        </row>
        <row r="269">
          <cell r="B269" t="str">
            <v>丽江市</v>
          </cell>
          <cell r="C269" t="str">
            <v>620.0</v>
          </cell>
        </row>
        <row r="270">
          <cell r="B270" t="str">
            <v>普洱市</v>
          </cell>
          <cell r="C270" t="str">
            <v>1073.0</v>
          </cell>
        </row>
        <row r="271">
          <cell r="B271" t="str">
            <v>临沧市</v>
          </cell>
          <cell r="C271" t="str">
            <v>1000.0</v>
          </cell>
        </row>
        <row r="272">
          <cell r="B272" t="str">
            <v>拉萨市</v>
          </cell>
          <cell r="C272" t="str">
            <v>748.0</v>
          </cell>
        </row>
        <row r="273">
          <cell r="B273" t="str">
            <v>日喀则市</v>
          </cell>
          <cell r="C273" t="str">
            <v>362.0</v>
          </cell>
        </row>
        <row r="274">
          <cell r="B274" t="str">
            <v>昌都市</v>
          </cell>
          <cell r="C274" t="str">
            <v>298.0</v>
          </cell>
        </row>
        <row r="275">
          <cell r="B275" t="str">
            <v>林芝市</v>
          </cell>
          <cell r="C275" t="str">
            <v>208.0</v>
          </cell>
        </row>
        <row r="276">
          <cell r="B276" t="str">
            <v>山南市</v>
          </cell>
          <cell r="C276" t="str">
            <v>243.0</v>
          </cell>
        </row>
        <row r="277">
          <cell r="B277" t="str">
            <v>那曲市</v>
          </cell>
          <cell r="C277" t="str">
            <v>193.0</v>
          </cell>
        </row>
        <row r="278">
          <cell r="B278" t="str">
            <v>西安市</v>
          </cell>
          <cell r="C278" t="str">
            <v>11487.0</v>
          </cell>
        </row>
        <row r="279">
          <cell r="B279" t="str">
            <v>铜川市</v>
          </cell>
          <cell r="C279" t="str">
            <v>506.0</v>
          </cell>
        </row>
        <row r="280">
          <cell r="B280" t="str">
            <v>宝鸡市</v>
          </cell>
          <cell r="C280" t="str">
            <v>2743.0</v>
          </cell>
        </row>
        <row r="281">
          <cell r="B281" t="str">
            <v>咸阳市</v>
          </cell>
          <cell r="C281" t="str">
            <v>2818.0</v>
          </cell>
        </row>
        <row r="282">
          <cell r="B282" t="str">
            <v>渭南市</v>
          </cell>
          <cell r="C282" t="str">
            <v>2201.0</v>
          </cell>
        </row>
        <row r="283">
          <cell r="B283" t="str">
            <v>延安市</v>
          </cell>
          <cell r="C283" t="str">
            <v>2232.0</v>
          </cell>
        </row>
        <row r="284">
          <cell r="B284" t="str">
            <v>汉中市</v>
          </cell>
          <cell r="C284" t="str">
            <v>1905.0</v>
          </cell>
        </row>
        <row r="285">
          <cell r="B285" t="str">
            <v>榆林市</v>
          </cell>
          <cell r="C285" t="str">
            <v>6844.0</v>
          </cell>
        </row>
        <row r="286">
          <cell r="B286" t="str">
            <v>安康市</v>
          </cell>
          <cell r="C286" t="str">
            <v>1269.0</v>
          </cell>
        </row>
        <row r="287">
          <cell r="B287" t="str">
            <v>商洛市</v>
          </cell>
          <cell r="C287" t="str">
            <v>903.0</v>
          </cell>
        </row>
        <row r="288">
          <cell r="B288" t="str">
            <v>兰州市</v>
          </cell>
          <cell r="C288" t="str">
            <v>3344.0</v>
          </cell>
        </row>
        <row r="289">
          <cell r="B289" t="str">
            <v>嘉峪关市</v>
          </cell>
          <cell r="C289" t="str">
            <v>363.0</v>
          </cell>
        </row>
        <row r="290">
          <cell r="B290" t="str">
            <v>金昌市</v>
          </cell>
          <cell r="C290" t="str">
            <v>523.0</v>
          </cell>
        </row>
        <row r="291">
          <cell r="B291" t="str">
            <v>白银市</v>
          </cell>
          <cell r="C291" t="str">
            <v>636.0</v>
          </cell>
        </row>
        <row r="292">
          <cell r="B292" t="str">
            <v>天水市</v>
          </cell>
          <cell r="C292" t="str">
            <v>814.0</v>
          </cell>
        </row>
        <row r="293">
          <cell r="B293" t="str">
            <v>武威市</v>
          </cell>
          <cell r="C293" t="str">
            <v>663.0</v>
          </cell>
        </row>
        <row r="294">
          <cell r="B294" t="str">
            <v>张掖市</v>
          </cell>
          <cell r="C294" t="str">
            <v>582.0</v>
          </cell>
        </row>
        <row r="295">
          <cell r="B295" t="str">
            <v>平凉市</v>
          </cell>
          <cell r="C295" t="str">
            <v>642.0</v>
          </cell>
        </row>
        <row r="296">
          <cell r="B296" t="str">
            <v>酒泉市</v>
          </cell>
          <cell r="C296" t="str">
            <v>841.0</v>
          </cell>
        </row>
        <row r="297">
          <cell r="B297" t="str">
            <v>庆阳市</v>
          </cell>
          <cell r="C297" t="str">
            <v>1022.0</v>
          </cell>
        </row>
        <row r="298">
          <cell r="B298" t="str">
            <v>定西市</v>
          </cell>
          <cell r="C298" t="str">
            <v>558.0</v>
          </cell>
        </row>
        <row r="299">
          <cell r="B299" t="str">
            <v>陇南市</v>
          </cell>
          <cell r="C299" t="str">
            <v>562.0</v>
          </cell>
        </row>
        <row r="300">
          <cell r="B300" t="str">
            <v>西宁市</v>
          </cell>
          <cell r="C300" t="str">
            <v>1644.0</v>
          </cell>
        </row>
        <row r="301">
          <cell r="B301" t="str">
            <v>海东市</v>
          </cell>
          <cell r="C301" t="str">
            <v>563.0</v>
          </cell>
        </row>
        <row r="302">
          <cell r="B302" t="str">
            <v>银川市</v>
          </cell>
          <cell r="C302" t="str">
            <v>2536.0</v>
          </cell>
        </row>
        <row r="303">
          <cell r="B303" t="str">
            <v>石嘴山市</v>
          </cell>
          <cell r="C303" t="str">
            <v>693.0</v>
          </cell>
        </row>
        <row r="304">
          <cell r="B304" t="str">
            <v>吴忠市</v>
          </cell>
          <cell r="C304" t="str">
            <v>867.0</v>
          </cell>
        </row>
        <row r="305">
          <cell r="B305" t="str">
            <v>固原市</v>
          </cell>
          <cell r="C305" t="str">
            <v>410.0</v>
          </cell>
        </row>
        <row r="306">
          <cell r="B306" t="str">
            <v>中卫市</v>
          </cell>
          <cell r="C306" t="str">
            <v>564.0</v>
          </cell>
        </row>
        <row r="307">
          <cell r="B307" t="str">
            <v>乌鲁木齐市</v>
          </cell>
          <cell r="C307" t="str">
            <v>3893.0</v>
          </cell>
        </row>
        <row r="308">
          <cell r="B308" t="str">
            <v>克拉玛依市</v>
          </cell>
          <cell r="C308" t="str">
            <v>1188.0</v>
          </cell>
        </row>
        <row r="309">
          <cell r="B309" t="str">
            <v>吐鲁番市</v>
          </cell>
          <cell r="C309" t="str">
            <v>527.0</v>
          </cell>
        </row>
        <row r="310">
          <cell r="B310" t="str">
            <v>哈密市</v>
          </cell>
          <cell r="C310" t="str">
            <v>869.0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地区</v>
          </cell>
          <cell r="C1" t="str">
            <v>2022年</v>
          </cell>
        </row>
        <row r="2">
          <cell r="B2" t="str">
            <v>长沙市</v>
          </cell>
          <cell r="C2" t="str">
            <v>13966.0</v>
          </cell>
        </row>
        <row r="3">
          <cell r="B3" t="str">
            <v>株洲市</v>
          </cell>
          <cell r="C3" t="str">
            <v>3617.0</v>
          </cell>
        </row>
        <row r="4">
          <cell r="B4" t="str">
            <v>湘潭市</v>
          </cell>
          <cell r="C4" t="str">
            <v>2698.0</v>
          </cell>
        </row>
        <row r="5">
          <cell r="B5" t="str">
            <v>衡阳市</v>
          </cell>
          <cell r="C5" t="str">
            <v>4090.0</v>
          </cell>
        </row>
        <row r="6">
          <cell r="B6" t="str">
            <v>邵阳市</v>
          </cell>
          <cell r="C6" t="str">
            <v>2599.0</v>
          </cell>
        </row>
        <row r="7">
          <cell r="B7" t="str">
            <v>岳阳市</v>
          </cell>
          <cell r="C7" t="str">
            <v>4711.0</v>
          </cell>
        </row>
        <row r="8">
          <cell r="B8" t="str">
            <v>常德市</v>
          </cell>
          <cell r="C8" t="str">
            <v>4275.0</v>
          </cell>
        </row>
        <row r="9">
          <cell r="B9" t="str">
            <v>张家界市</v>
          </cell>
          <cell r="C9" t="str">
            <v>592.0</v>
          </cell>
        </row>
        <row r="10">
          <cell r="B10" t="str">
            <v>益阳市</v>
          </cell>
          <cell r="C10" t="str">
            <v>2108.0</v>
          </cell>
        </row>
        <row r="11">
          <cell r="B11" t="str">
            <v>郴州市</v>
          </cell>
          <cell r="C11" t="str">
            <v>2980.0</v>
          </cell>
        </row>
        <row r="12">
          <cell r="B12" t="str">
            <v>永州市</v>
          </cell>
          <cell r="C12" t="str">
            <v>2410.0</v>
          </cell>
        </row>
        <row r="13">
          <cell r="B13" t="str">
            <v>怀化市</v>
          </cell>
          <cell r="C13" t="str">
            <v>1878.0</v>
          </cell>
        </row>
        <row r="14">
          <cell r="B14" t="str">
            <v>娄底市</v>
          </cell>
          <cell r="C14" t="str">
            <v>1929.0</v>
          </cell>
        </row>
        <row r="15">
          <cell r="B15" t="str">
            <v>广州市</v>
          </cell>
          <cell r="C15" t="str">
            <v>28839.0</v>
          </cell>
        </row>
        <row r="16">
          <cell r="B16" t="str">
            <v>韶关市</v>
          </cell>
          <cell r="C16" t="str">
            <v>1564.0</v>
          </cell>
        </row>
        <row r="17">
          <cell r="B17" t="str">
            <v>深圳市</v>
          </cell>
          <cell r="C17" t="str">
            <v>32388.0</v>
          </cell>
        </row>
        <row r="18">
          <cell r="B18" t="str">
            <v>珠海市</v>
          </cell>
          <cell r="C18" t="str">
            <v>4045.0</v>
          </cell>
        </row>
        <row r="19">
          <cell r="B19" t="str">
            <v>汕头市</v>
          </cell>
          <cell r="C19" t="str">
            <v>3017.0</v>
          </cell>
        </row>
        <row r="20">
          <cell r="B20" t="str">
            <v>佛山市</v>
          </cell>
          <cell r="C20" t="str">
            <v>12698.0</v>
          </cell>
        </row>
        <row r="21">
          <cell r="B21" t="str">
            <v>江门市</v>
          </cell>
          <cell r="C21" t="str">
            <v>3773.0</v>
          </cell>
        </row>
        <row r="22">
          <cell r="B22" t="str">
            <v>湛江市</v>
          </cell>
          <cell r="C22" t="str">
            <v>3713.0</v>
          </cell>
        </row>
        <row r="23">
          <cell r="B23" t="str">
            <v>茂名市</v>
          </cell>
          <cell r="C23" t="str">
            <v>3905.0</v>
          </cell>
        </row>
        <row r="24">
          <cell r="B24" t="str">
            <v>肇庆市</v>
          </cell>
          <cell r="C24" t="str">
            <v>2705.0</v>
          </cell>
        </row>
        <row r="25">
          <cell r="B25" t="str">
            <v>惠州市</v>
          </cell>
          <cell r="C25" t="str">
            <v>5401.0</v>
          </cell>
        </row>
        <row r="26">
          <cell r="B26" t="str">
            <v>梅州市</v>
          </cell>
          <cell r="C26" t="str">
            <v>1318.0</v>
          </cell>
        </row>
        <row r="27">
          <cell r="B27" t="str">
            <v>汕尾市</v>
          </cell>
          <cell r="C27" t="str">
            <v>1322.0</v>
          </cell>
        </row>
        <row r="28">
          <cell r="B28" t="str">
            <v>河源市</v>
          </cell>
          <cell r="C28" t="str">
            <v>1295.0</v>
          </cell>
        </row>
        <row r="29">
          <cell r="B29" t="str">
            <v>阳江市</v>
          </cell>
          <cell r="C29" t="str">
            <v>1535.0</v>
          </cell>
        </row>
        <row r="30">
          <cell r="B30" t="str">
            <v>清远市</v>
          </cell>
          <cell r="C30" t="str">
            <v>2032.0</v>
          </cell>
        </row>
        <row r="31">
          <cell r="B31" t="str">
            <v>东莞市</v>
          </cell>
          <cell r="C31" t="str">
            <v>11200.0</v>
          </cell>
        </row>
        <row r="32">
          <cell r="B32" t="str">
            <v>中山市</v>
          </cell>
          <cell r="C32" t="str">
            <v>3631.0</v>
          </cell>
        </row>
        <row r="33">
          <cell r="B33" t="str">
            <v>潮州市</v>
          </cell>
          <cell r="C33" t="str">
            <v>1313.0</v>
          </cell>
        </row>
        <row r="34">
          <cell r="B34" t="str">
            <v>揭阳市</v>
          </cell>
          <cell r="C34" t="str">
            <v>2261.0</v>
          </cell>
        </row>
        <row r="35">
          <cell r="B35" t="str">
            <v>云浮市</v>
          </cell>
          <cell r="C35" t="str">
            <v>1162.0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地区</v>
          </cell>
          <cell r="C1" t="str">
            <v>2022年</v>
          </cell>
        </row>
        <row r="2">
          <cell r="B2" t="str">
            <v>南宁市</v>
          </cell>
          <cell r="C2" t="str">
            <v>5218.0</v>
          </cell>
        </row>
        <row r="3">
          <cell r="B3" t="str">
            <v>柳州市</v>
          </cell>
          <cell r="C3" t="str">
            <v>3109.0</v>
          </cell>
        </row>
        <row r="4">
          <cell r="B4" t="str">
            <v>桂林市</v>
          </cell>
          <cell r="C4" t="str">
            <v>2436.0</v>
          </cell>
        </row>
        <row r="5">
          <cell r="B5" t="str">
            <v>梧州市</v>
          </cell>
          <cell r="C5" t="str">
            <v>1420.0</v>
          </cell>
        </row>
        <row r="6">
          <cell r="B6" t="str">
            <v>北海市</v>
          </cell>
          <cell r="C6" t="str">
            <v>1674.0</v>
          </cell>
        </row>
        <row r="7">
          <cell r="B7" t="str">
            <v>防城港市</v>
          </cell>
          <cell r="C7" t="str">
            <v>968.0</v>
          </cell>
        </row>
        <row r="8">
          <cell r="B8" t="str">
            <v>钦州市</v>
          </cell>
          <cell r="C8" t="str">
            <v>1917.0</v>
          </cell>
        </row>
        <row r="9">
          <cell r="B9" t="str">
            <v>贵港市</v>
          </cell>
          <cell r="C9" t="str">
            <v>1572.0</v>
          </cell>
        </row>
        <row r="10">
          <cell r="B10" t="str">
            <v>玉林市</v>
          </cell>
          <cell r="C10" t="str">
            <v>2167.0</v>
          </cell>
        </row>
        <row r="11">
          <cell r="B11" t="str">
            <v>百色市</v>
          </cell>
          <cell r="C11" t="str">
            <v>1729.0</v>
          </cell>
        </row>
        <row r="12">
          <cell r="B12" t="str">
            <v>贺州市</v>
          </cell>
          <cell r="C12" t="str">
            <v>972.0</v>
          </cell>
        </row>
        <row r="13">
          <cell r="B13" t="str">
            <v>河池市</v>
          </cell>
          <cell r="C13" t="str">
            <v>1136.0</v>
          </cell>
        </row>
        <row r="14">
          <cell r="B14" t="str">
            <v>来宾市</v>
          </cell>
          <cell r="C14" t="str">
            <v>901.0</v>
          </cell>
        </row>
        <row r="15">
          <cell r="B15" t="str">
            <v>崇左市</v>
          </cell>
          <cell r="C15" t="str">
            <v>1081.0</v>
          </cell>
        </row>
        <row r="16">
          <cell r="B16" t="str">
            <v>海口市</v>
          </cell>
          <cell r="C16" t="str">
            <v>2135.0</v>
          </cell>
        </row>
        <row r="17">
          <cell r="B17" t="str">
            <v>三亚市</v>
          </cell>
          <cell r="C17" t="str">
            <v>847.0</v>
          </cell>
        </row>
        <row r="18">
          <cell r="B18" t="str">
            <v>儋州市</v>
          </cell>
          <cell r="C18" t="str">
            <v>879.0</v>
          </cell>
        </row>
        <row r="19">
          <cell r="B19" t="str">
            <v>重庆市</v>
          </cell>
          <cell r="C19" t="str">
            <v>29129.0</v>
          </cell>
        </row>
        <row r="20">
          <cell r="B20" t="str">
            <v>昆明市</v>
          </cell>
          <cell r="C20" t="str">
            <v>7541.0</v>
          </cell>
        </row>
        <row r="21">
          <cell r="B21" t="str">
            <v>曲靖市</v>
          </cell>
          <cell r="C21" t="str">
            <v>3802.0</v>
          </cell>
        </row>
        <row r="22">
          <cell r="B22" t="str">
            <v>玉溪市</v>
          </cell>
          <cell r="C22" t="str">
            <v>2521.0</v>
          </cell>
        </row>
        <row r="23">
          <cell r="B23" t="str">
            <v>保山市</v>
          </cell>
          <cell r="C23" t="str">
            <v>1262.0</v>
          </cell>
        </row>
        <row r="24">
          <cell r="B24" t="str">
            <v>昭通市</v>
          </cell>
          <cell r="C24" t="str">
            <v>1541.0</v>
          </cell>
        </row>
        <row r="25">
          <cell r="B25" t="str">
            <v>丽江市</v>
          </cell>
          <cell r="C25" t="str">
            <v>620.0</v>
          </cell>
        </row>
        <row r="26">
          <cell r="B26" t="str">
            <v>普洱市</v>
          </cell>
          <cell r="C26" t="str">
            <v>1073.0</v>
          </cell>
        </row>
        <row r="27">
          <cell r="B27" t="str">
            <v>临沧市</v>
          </cell>
          <cell r="C27" t="str">
            <v>1000.0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CITY</v>
          </cell>
          <cell r="B1" t="str">
            <v>2022</v>
          </cell>
        </row>
        <row r="2">
          <cell r="A2" t="str">
            <v>安庆市</v>
          </cell>
          <cell r="B2">
            <v>10.6666172657</v>
          </cell>
        </row>
        <row r="3">
          <cell r="A3" t="str">
            <v>蚌埠市</v>
          </cell>
          <cell r="B3">
            <v>18.0350083752</v>
          </cell>
        </row>
        <row r="4">
          <cell r="A4" t="str">
            <v>亳州市</v>
          </cell>
          <cell r="B4">
            <v>16.9454012888</v>
          </cell>
        </row>
        <row r="5">
          <cell r="A5" t="str">
            <v>池州市</v>
          </cell>
          <cell r="B5">
            <v>8.40531521869</v>
          </cell>
        </row>
        <row r="6">
          <cell r="A6" t="str">
            <v>滁州市</v>
          </cell>
          <cell r="B6">
            <v>16.4108555794</v>
          </cell>
        </row>
        <row r="7">
          <cell r="A7" t="str">
            <v>阜阳市</v>
          </cell>
          <cell r="B7">
            <v>21.3900365721</v>
          </cell>
        </row>
        <row r="8">
          <cell r="A8" t="str">
            <v>合肥市</v>
          </cell>
          <cell r="B8">
            <v>23.4737392213</v>
          </cell>
        </row>
        <row r="9">
          <cell r="A9" t="str">
            <v>淮北市</v>
          </cell>
          <cell r="B9">
            <v>24.8807706289</v>
          </cell>
        </row>
        <row r="10">
          <cell r="A10" t="str">
            <v>淮南市</v>
          </cell>
          <cell r="B10">
            <v>18.6964382571</v>
          </cell>
        </row>
        <row r="11">
          <cell r="A11" t="str">
            <v>黄山市</v>
          </cell>
          <cell r="B11">
            <v>4.5215730801</v>
          </cell>
        </row>
        <row r="12">
          <cell r="A12" t="str">
            <v>六安市</v>
          </cell>
          <cell r="B12">
            <v>11.1403588315</v>
          </cell>
        </row>
        <row r="13">
          <cell r="A13" t="str">
            <v>马鞍山市</v>
          </cell>
          <cell r="B13">
            <v>22.918972332</v>
          </cell>
        </row>
        <row r="14">
          <cell r="A14" t="str">
            <v>宿州市</v>
          </cell>
          <cell r="B14">
            <v>18.1706653226</v>
          </cell>
        </row>
        <row r="15">
          <cell r="A15" t="str">
            <v>铜陵市</v>
          </cell>
          <cell r="B15">
            <v>16.4639140651</v>
          </cell>
        </row>
        <row r="16">
          <cell r="A16" t="str">
            <v>芜湖市</v>
          </cell>
          <cell r="B16">
            <v>22.8780568957</v>
          </cell>
        </row>
        <row r="17">
          <cell r="A17" t="str">
            <v>宣城市</v>
          </cell>
          <cell r="B17">
            <v>10.6790875142</v>
          </cell>
        </row>
        <row r="18">
          <cell r="A18" t="str">
            <v>澳门特别行政区</v>
          </cell>
          <cell r="B18">
            <v>60.26</v>
          </cell>
        </row>
        <row r="19">
          <cell r="A19" t="str">
            <v>北京市</v>
          </cell>
          <cell r="B19">
            <v>27.3147335041</v>
          </cell>
        </row>
        <row r="20">
          <cell r="A20" t="str">
            <v>福州市</v>
          </cell>
          <cell r="B20">
            <v>22.75279341</v>
          </cell>
        </row>
        <row r="21">
          <cell r="A21" t="str">
            <v>龙岩市</v>
          </cell>
          <cell r="B21">
            <v>8.32487522984</v>
          </cell>
        </row>
        <row r="22">
          <cell r="A22" t="str">
            <v>南平市</v>
          </cell>
          <cell r="B22">
            <v>6.58895565528</v>
          </cell>
        </row>
        <row r="23">
          <cell r="A23" t="str">
            <v>宁德市</v>
          </cell>
          <cell r="B23">
            <v>13.9169683091</v>
          </cell>
        </row>
        <row r="24">
          <cell r="A24" t="str">
            <v>莆田市</v>
          </cell>
          <cell r="B24">
            <v>25.0833333333</v>
          </cell>
        </row>
        <row r="25">
          <cell r="A25" t="str">
            <v>泉州市</v>
          </cell>
          <cell r="B25">
            <v>25.0103526935</v>
          </cell>
        </row>
        <row r="26">
          <cell r="A26" t="str">
            <v>三明市</v>
          </cell>
          <cell r="B26">
            <v>6.43122903324</v>
          </cell>
        </row>
        <row r="27">
          <cell r="A27" t="str">
            <v>厦门市</v>
          </cell>
          <cell r="B27">
            <v>47.6449971735</v>
          </cell>
        </row>
        <row r="28">
          <cell r="A28" t="str">
            <v>漳州市</v>
          </cell>
          <cell r="B28">
            <v>21.1719566978</v>
          </cell>
        </row>
        <row r="29">
          <cell r="A29" t="str">
            <v>白银市</v>
          </cell>
          <cell r="B29">
            <v>4.36894459365</v>
          </cell>
        </row>
        <row r="30">
          <cell r="A30" t="str">
            <v>定西市</v>
          </cell>
          <cell r="B30">
            <v>4.63934175667</v>
          </cell>
        </row>
        <row r="31">
          <cell r="A31" t="str">
            <v>甘南藏族自治州</v>
          </cell>
          <cell r="B31">
            <v>1.26700684913</v>
          </cell>
        </row>
        <row r="32">
          <cell r="A32" t="str">
            <v>嘉峪关市</v>
          </cell>
          <cell r="B32">
            <v>14.4297385621</v>
          </cell>
        </row>
        <row r="33">
          <cell r="A33" t="str">
            <v>金昌市</v>
          </cell>
          <cell r="B33">
            <v>4.51364471267</v>
          </cell>
        </row>
        <row r="34">
          <cell r="A34" t="str">
            <v>酒泉市</v>
          </cell>
          <cell r="B34">
            <v>0.863278035516</v>
          </cell>
        </row>
        <row r="35">
          <cell r="A35" t="str">
            <v>兰州市</v>
          </cell>
          <cell r="B35">
            <v>9.60489245683</v>
          </cell>
        </row>
        <row r="36">
          <cell r="A36" t="str">
            <v>临夏回族自治州</v>
          </cell>
          <cell r="B36">
            <v>6.83448021627</v>
          </cell>
        </row>
        <row r="37">
          <cell r="A37" t="str">
            <v>陇南市</v>
          </cell>
          <cell r="B37">
            <v>2.85783962129</v>
          </cell>
        </row>
        <row r="38">
          <cell r="A38" t="str">
            <v>平凉市</v>
          </cell>
          <cell r="B38">
            <v>6.88046018335</v>
          </cell>
        </row>
        <row r="39">
          <cell r="A39" t="str">
            <v>庆阳市</v>
          </cell>
          <cell r="B39">
            <v>7.1188553306</v>
          </cell>
        </row>
        <row r="40">
          <cell r="A40" t="str">
            <v>天水市</v>
          </cell>
          <cell r="B40">
            <v>6.07628721541</v>
          </cell>
        </row>
        <row r="41">
          <cell r="A41" t="str">
            <v>武威市</v>
          </cell>
          <cell r="B41">
            <v>2.15673023514</v>
          </cell>
        </row>
        <row r="42">
          <cell r="A42" t="str">
            <v>张掖市</v>
          </cell>
          <cell r="B42">
            <v>2.01089217012</v>
          </cell>
        </row>
        <row r="43">
          <cell r="A43" t="str">
            <v>潮州市</v>
          </cell>
          <cell r="B43">
            <v>24.3541346449</v>
          </cell>
        </row>
        <row r="44">
          <cell r="A44" t="str">
            <v>东莞市</v>
          </cell>
          <cell r="B44">
            <v>59.5418520016</v>
          </cell>
        </row>
        <row r="45">
          <cell r="A45" t="str">
            <v>佛山市</v>
          </cell>
          <cell r="B45">
            <v>48.0709014233</v>
          </cell>
        </row>
        <row r="46">
          <cell r="A46" t="str">
            <v>广州市</v>
          </cell>
          <cell r="B46">
            <v>39.6190540541</v>
          </cell>
        </row>
        <row r="47">
          <cell r="A47" t="str">
            <v>河源市</v>
          </cell>
          <cell r="B47">
            <v>8.71145487088</v>
          </cell>
        </row>
        <row r="48">
          <cell r="A48" t="str">
            <v>惠州市</v>
          </cell>
          <cell r="B48">
            <v>23.2526334117</v>
          </cell>
        </row>
        <row r="49">
          <cell r="A49" t="str">
            <v>江门市</v>
          </cell>
          <cell r="B49">
            <v>22.2059217992</v>
          </cell>
        </row>
        <row r="50">
          <cell r="A50" t="str">
            <v>揭阳市</v>
          </cell>
          <cell r="B50">
            <v>26.4720180893</v>
          </cell>
        </row>
        <row r="51">
          <cell r="A51" t="str">
            <v>茂名市</v>
          </cell>
          <cell r="B51">
            <v>14.9651884895</v>
          </cell>
        </row>
        <row r="52">
          <cell r="A52" t="str">
            <v>梅州市</v>
          </cell>
          <cell r="B52">
            <v>10.2121460554</v>
          </cell>
        </row>
        <row r="53">
          <cell r="A53" t="str">
            <v>清远市</v>
          </cell>
          <cell r="B53">
            <v>10.2397267472</v>
          </cell>
        </row>
        <row r="54">
          <cell r="A54" t="str">
            <v>汕头市</v>
          </cell>
          <cell r="B54">
            <v>44.7169650469</v>
          </cell>
        </row>
        <row r="55">
          <cell r="A55" t="str">
            <v>汕尾市</v>
          </cell>
          <cell r="B55">
            <v>22.9032076533</v>
          </cell>
        </row>
        <row r="56">
          <cell r="A56" t="str">
            <v>韶关市</v>
          </cell>
          <cell r="B56">
            <v>7.24889951633</v>
          </cell>
        </row>
        <row r="57">
          <cell r="A57" t="str">
            <v>深圳市</v>
          </cell>
          <cell r="B57">
            <v>56.0576923077</v>
          </cell>
        </row>
        <row r="58">
          <cell r="A58" t="str">
            <v>阳江市</v>
          </cell>
          <cell r="B58">
            <v>14.1442903146</v>
          </cell>
        </row>
        <row r="59">
          <cell r="A59" t="str">
            <v>云浮市</v>
          </cell>
          <cell r="B59">
            <v>11.6278055662</v>
          </cell>
        </row>
        <row r="60">
          <cell r="A60" t="str">
            <v>湛江市</v>
          </cell>
          <cell r="B60">
            <v>19.9538324948</v>
          </cell>
        </row>
        <row r="61">
          <cell r="A61" t="str">
            <v>肇庆市</v>
          </cell>
          <cell r="B61">
            <v>11.9334899329</v>
          </cell>
        </row>
        <row r="62">
          <cell r="A62" t="str">
            <v>中山市</v>
          </cell>
          <cell r="B62">
            <v>53.0918086861</v>
          </cell>
        </row>
        <row r="63">
          <cell r="A63" t="str">
            <v>珠海市</v>
          </cell>
          <cell r="B63">
            <v>44.162397541</v>
          </cell>
        </row>
        <row r="64">
          <cell r="A64" t="str">
            <v>百色市</v>
          </cell>
          <cell r="B64">
            <v>4.11039946995</v>
          </cell>
        </row>
        <row r="65">
          <cell r="A65" t="str">
            <v>北海市</v>
          </cell>
          <cell r="B65">
            <v>17.9973725696</v>
          </cell>
        </row>
        <row r="66">
          <cell r="A66" t="str">
            <v>崇左市</v>
          </cell>
          <cell r="B66">
            <v>6.84738631779</v>
          </cell>
        </row>
        <row r="67">
          <cell r="A67" t="str">
            <v>防城港市</v>
          </cell>
          <cell r="B67">
            <v>9.44835341365</v>
          </cell>
        </row>
        <row r="68">
          <cell r="A68" t="str">
            <v>贵港市</v>
          </cell>
          <cell r="B68">
            <v>10.8588135433</v>
          </cell>
        </row>
        <row r="69">
          <cell r="A69" t="str">
            <v>桂林市</v>
          </cell>
          <cell r="B69">
            <v>5.14244900911</v>
          </cell>
        </row>
        <row r="70">
          <cell r="A70" t="str">
            <v>河池市</v>
          </cell>
          <cell r="B70">
            <v>3.71917132522</v>
          </cell>
        </row>
        <row r="71">
          <cell r="A71" t="str">
            <v>贺州市</v>
          </cell>
          <cell r="B71">
            <v>6.12858480129</v>
          </cell>
        </row>
        <row r="72">
          <cell r="A72" t="str">
            <v>来宾市</v>
          </cell>
          <cell r="B72">
            <v>7.53807068669</v>
          </cell>
        </row>
        <row r="73">
          <cell r="A73" t="str">
            <v>柳州市</v>
          </cell>
          <cell r="B73">
            <v>7.52519879648</v>
          </cell>
        </row>
        <row r="74">
          <cell r="A74" t="str">
            <v>南宁市</v>
          </cell>
          <cell r="B74">
            <v>12.7696591063</v>
          </cell>
        </row>
        <row r="75">
          <cell r="A75" t="str">
            <v>钦州市</v>
          </cell>
          <cell r="B75">
            <v>9.16735253772</v>
          </cell>
        </row>
        <row r="76">
          <cell r="A76" t="str">
            <v>梧州市</v>
          </cell>
          <cell r="B76">
            <v>7.33729083665</v>
          </cell>
        </row>
        <row r="77">
          <cell r="A77" t="str">
            <v>玉林市</v>
          </cell>
          <cell r="B77">
            <v>11.0306432749</v>
          </cell>
        </row>
        <row r="78">
          <cell r="A78" t="str">
            <v>安顺市</v>
          </cell>
          <cell r="B78">
            <v>8.16299416721</v>
          </cell>
        </row>
        <row r="79">
          <cell r="A79" t="str">
            <v>毕节市</v>
          </cell>
          <cell r="B79">
            <v>6.12740823551</v>
          </cell>
        </row>
        <row r="80">
          <cell r="A80" t="str">
            <v>贵阳市</v>
          </cell>
          <cell r="B80">
            <v>14.4372746488</v>
          </cell>
        </row>
        <row r="81">
          <cell r="A81" t="str">
            <v>六盘水市</v>
          </cell>
          <cell r="B81">
            <v>8.01330645161</v>
          </cell>
        </row>
        <row r="82">
          <cell r="A82" t="str">
            <v>黔东南苗族侗族自治州</v>
          </cell>
          <cell r="B82">
            <v>4.3759338843</v>
          </cell>
        </row>
        <row r="83">
          <cell r="A83" t="str">
            <v>黔南布依族苗族自治州</v>
          </cell>
          <cell r="B83">
            <v>5.56732091034</v>
          </cell>
        </row>
        <row r="84">
          <cell r="A84" t="str">
            <v>黔西南布依族苗族自治州</v>
          </cell>
          <cell r="B84">
            <v>6.00606889986</v>
          </cell>
        </row>
        <row r="85">
          <cell r="A85" t="str">
            <v>铜仁市</v>
          </cell>
          <cell r="B85">
            <v>6.23073934281</v>
          </cell>
        </row>
        <row r="86">
          <cell r="A86" t="str">
            <v>遵义市</v>
          </cell>
          <cell r="B86">
            <v>6.14292679756</v>
          </cell>
        </row>
        <row r="87">
          <cell r="A87" t="str">
            <v>白沙黎族自治县</v>
          </cell>
          <cell r="B87">
            <v>4.74646559849</v>
          </cell>
        </row>
        <row r="88">
          <cell r="A88" t="str">
            <v>保亭黎族苗族自治县</v>
          </cell>
          <cell r="B88">
            <v>7.49565972222</v>
          </cell>
        </row>
        <row r="89">
          <cell r="A89" t="str">
            <v>昌江黎族自治县</v>
          </cell>
          <cell r="B89">
            <v>15.3178016726</v>
          </cell>
        </row>
        <row r="90">
          <cell r="A90" t="str">
            <v>澄迈县</v>
          </cell>
          <cell r="B90">
            <v>12.2759259259</v>
          </cell>
        </row>
        <row r="91">
          <cell r="A91" t="str">
            <v>儋州市</v>
          </cell>
          <cell r="B91">
            <v>14.5738349242</v>
          </cell>
        </row>
        <row r="92">
          <cell r="A92" t="str">
            <v>定安县</v>
          </cell>
          <cell r="B92">
            <v>9.59932375317</v>
          </cell>
        </row>
        <row r="93">
          <cell r="A93" t="str">
            <v>东方市</v>
          </cell>
          <cell r="B93">
            <v>21.1241753977</v>
          </cell>
        </row>
        <row r="94">
          <cell r="A94" t="str">
            <v>海口市</v>
          </cell>
          <cell r="B94">
            <v>25.3326653307</v>
          </cell>
        </row>
        <row r="95">
          <cell r="A95" t="str">
            <v>乐东黎族自治县</v>
          </cell>
          <cell r="B95">
            <v>17.6573612496</v>
          </cell>
        </row>
        <row r="96">
          <cell r="A96" t="str">
            <v>临高县</v>
          </cell>
          <cell r="B96">
            <v>12.8513998564</v>
          </cell>
        </row>
        <row r="97">
          <cell r="A97" t="str">
            <v>陵水黎族自治县</v>
          </cell>
          <cell r="B97">
            <v>18.0712607674</v>
          </cell>
        </row>
        <row r="98">
          <cell r="A98" t="str">
            <v>琼海市</v>
          </cell>
          <cell r="B98">
            <v>11.7375690608</v>
          </cell>
        </row>
        <row r="99">
          <cell r="A99" t="str">
            <v>琼中黎族苗族自治县</v>
          </cell>
          <cell r="B99">
            <v>3.86068914413</v>
          </cell>
        </row>
        <row r="100">
          <cell r="A100" t="str">
            <v>三沙市</v>
          </cell>
          <cell r="B100">
            <v>0</v>
          </cell>
        </row>
        <row r="101">
          <cell r="A101" t="str">
            <v>三亚市</v>
          </cell>
          <cell r="B101">
            <v>21.8690909091</v>
          </cell>
        </row>
        <row r="102">
          <cell r="A102" t="str">
            <v>屯昌县</v>
          </cell>
          <cell r="B102">
            <v>7.1264274062</v>
          </cell>
        </row>
        <row r="103">
          <cell r="A103" t="str">
            <v>万宁市</v>
          </cell>
          <cell r="B103">
            <v>10.8336162988</v>
          </cell>
        </row>
        <row r="104">
          <cell r="A104" t="str">
            <v>文昌市</v>
          </cell>
          <cell r="B104">
            <v>11.5301246537</v>
          </cell>
        </row>
        <row r="105">
          <cell r="A105" t="str">
            <v>五指山市</v>
          </cell>
          <cell r="B105">
            <v>4.43094405594</v>
          </cell>
        </row>
        <row r="106">
          <cell r="A106" t="str">
            <v>保定市</v>
          </cell>
          <cell r="B106">
            <v>15.9681181609</v>
          </cell>
        </row>
        <row r="107">
          <cell r="A107" t="str">
            <v>沧州市</v>
          </cell>
          <cell r="B107">
            <v>20.0202386768</v>
          </cell>
        </row>
        <row r="108">
          <cell r="A108" t="str">
            <v>承德市</v>
          </cell>
          <cell r="B108">
            <v>6.08767574414</v>
          </cell>
        </row>
        <row r="109">
          <cell r="A109" t="str">
            <v>邯郸市</v>
          </cell>
          <cell r="B109">
            <v>18.4631011609</v>
          </cell>
        </row>
        <row r="110">
          <cell r="A110" t="str">
            <v>衡水市</v>
          </cell>
          <cell r="B110">
            <v>15.8177596557</v>
          </cell>
        </row>
        <row r="111">
          <cell r="A111" t="str">
            <v>廊坊市</v>
          </cell>
          <cell r="B111">
            <v>30.1236567513</v>
          </cell>
        </row>
        <row r="112">
          <cell r="A112" t="str">
            <v>秦皇岛市</v>
          </cell>
          <cell r="B112">
            <v>14.3955176366</v>
          </cell>
        </row>
        <row r="113">
          <cell r="A113" t="str">
            <v>石家庄市</v>
          </cell>
          <cell r="B113">
            <v>17.9730364257</v>
          </cell>
        </row>
        <row r="114">
          <cell r="A114" t="str">
            <v>唐山市</v>
          </cell>
          <cell r="B114">
            <v>22.738887316</v>
          </cell>
        </row>
        <row r="115">
          <cell r="A115" t="str">
            <v>邢台市</v>
          </cell>
          <cell r="B115">
            <v>16.9524346076</v>
          </cell>
        </row>
        <row r="116">
          <cell r="A116" t="str">
            <v>张家口市</v>
          </cell>
          <cell r="B116">
            <v>7.43130373272</v>
          </cell>
        </row>
        <row r="117">
          <cell r="A117" t="str">
            <v>安阳市</v>
          </cell>
          <cell r="B117">
            <v>19.5726158038</v>
          </cell>
        </row>
        <row r="118">
          <cell r="A118" t="str">
            <v>鹤壁市</v>
          </cell>
          <cell r="B118">
            <v>22.5797101449</v>
          </cell>
        </row>
        <row r="119">
          <cell r="A119" t="str">
            <v>济源市</v>
          </cell>
          <cell r="B119">
            <v>14.7687434002</v>
          </cell>
        </row>
        <row r="120">
          <cell r="A120" t="str">
            <v>焦作市</v>
          </cell>
          <cell r="B120">
            <v>23.652335063</v>
          </cell>
        </row>
        <row r="121">
          <cell r="A121" t="str">
            <v>开封市</v>
          </cell>
          <cell r="B121">
            <v>20.0371914075</v>
          </cell>
        </row>
        <row r="122">
          <cell r="A122" t="str">
            <v>洛阳市</v>
          </cell>
          <cell r="B122">
            <v>12.9199894723</v>
          </cell>
        </row>
        <row r="123">
          <cell r="A123" t="str">
            <v>漯河市</v>
          </cell>
          <cell r="B123">
            <v>21.1555885629</v>
          </cell>
        </row>
        <row r="124">
          <cell r="A124" t="str">
            <v>南阳市</v>
          </cell>
          <cell r="B124">
            <v>10.4564438916</v>
          </cell>
        </row>
        <row r="125">
          <cell r="A125" t="str">
            <v>平顶山市</v>
          </cell>
          <cell r="B125">
            <v>17.0287087391</v>
          </cell>
        </row>
        <row r="126">
          <cell r="A126" t="str">
            <v>濮阳市</v>
          </cell>
          <cell r="B126">
            <v>23.4685150376</v>
          </cell>
        </row>
        <row r="127">
          <cell r="A127" t="str">
            <v>三门峡市</v>
          </cell>
          <cell r="B127">
            <v>7.89106117102</v>
          </cell>
        </row>
        <row r="128">
          <cell r="A128" t="str">
            <v>商丘市</v>
          </cell>
          <cell r="B128">
            <v>18.9519842756</v>
          </cell>
        </row>
        <row r="129">
          <cell r="A129" t="str">
            <v>新乡市</v>
          </cell>
          <cell r="B129">
            <v>21.8809379911</v>
          </cell>
        </row>
        <row r="130">
          <cell r="A130" t="str">
            <v>信阳市</v>
          </cell>
          <cell r="B130">
            <v>10.0015326075</v>
          </cell>
        </row>
        <row r="131">
          <cell r="A131" t="str">
            <v>许昌市</v>
          </cell>
          <cell r="B131">
            <v>21.6304914744</v>
          </cell>
        </row>
        <row r="132">
          <cell r="A132" t="str">
            <v>郑州市</v>
          </cell>
          <cell r="B132">
            <v>31.6855813953</v>
          </cell>
        </row>
        <row r="133">
          <cell r="A133" t="str">
            <v>周口市</v>
          </cell>
          <cell r="B133">
            <v>18.913994656</v>
          </cell>
        </row>
        <row r="134">
          <cell r="A134" t="str">
            <v>驻马店市</v>
          </cell>
          <cell r="B134">
            <v>15.0100185775</v>
          </cell>
        </row>
        <row r="135">
          <cell r="A135" t="str">
            <v>大庆市</v>
          </cell>
          <cell r="B135">
            <v>12.7855053317</v>
          </cell>
        </row>
        <row r="136">
          <cell r="A136" t="str">
            <v>大兴安岭地区</v>
          </cell>
          <cell r="B136">
            <v>0.65600520219</v>
          </cell>
        </row>
        <row r="137">
          <cell r="A137" t="str">
            <v>哈尔滨市</v>
          </cell>
          <cell r="B137">
            <v>9.05524154043</v>
          </cell>
        </row>
        <row r="138">
          <cell r="A138" t="str">
            <v>鹤岗市</v>
          </cell>
          <cell r="B138">
            <v>5.89447577631</v>
          </cell>
        </row>
        <row r="139">
          <cell r="A139" t="str">
            <v>黑河市</v>
          </cell>
          <cell r="B139">
            <v>4.01455018543</v>
          </cell>
        </row>
        <row r="140">
          <cell r="A140" t="str">
            <v>鸡西市</v>
          </cell>
          <cell r="B140">
            <v>5.54155186206</v>
          </cell>
        </row>
        <row r="141">
          <cell r="A141" t="str">
            <v>佳木斯市</v>
          </cell>
          <cell r="B141">
            <v>7.99232045217</v>
          </cell>
        </row>
        <row r="142">
          <cell r="A142" t="str">
            <v>牡丹江市</v>
          </cell>
          <cell r="B142">
            <v>4.05711342861</v>
          </cell>
        </row>
        <row r="143">
          <cell r="A143" t="str">
            <v>七台河市</v>
          </cell>
          <cell r="B143">
            <v>9.07718978102</v>
          </cell>
        </row>
        <row r="144">
          <cell r="A144" t="str">
            <v>齐齐哈尔市</v>
          </cell>
          <cell r="B144">
            <v>9.43961112688</v>
          </cell>
        </row>
        <row r="145">
          <cell r="A145" t="str">
            <v>双鸭山市</v>
          </cell>
          <cell r="B145">
            <v>5.85441683769</v>
          </cell>
        </row>
        <row r="146">
          <cell r="A146" t="str">
            <v>绥化市</v>
          </cell>
          <cell r="B146">
            <v>10.1358711231</v>
          </cell>
        </row>
        <row r="147">
          <cell r="A147" t="str">
            <v>伊春市</v>
          </cell>
          <cell r="B147">
            <v>2.40921549519</v>
          </cell>
        </row>
        <row r="148">
          <cell r="A148" t="str">
            <v>鄂州市</v>
          </cell>
          <cell r="B148">
            <v>27.9284818068</v>
          </cell>
        </row>
        <row r="149">
          <cell r="A149" t="str">
            <v>恩施土家族苗族自治州</v>
          </cell>
          <cell r="B149">
            <v>4.29774511025</v>
          </cell>
        </row>
        <row r="150">
          <cell r="A150" t="str">
            <v>黄冈市</v>
          </cell>
          <cell r="B150">
            <v>9.90272998394</v>
          </cell>
        </row>
        <row r="151">
          <cell r="A151" t="str">
            <v>黄石市</v>
          </cell>
          <cell r="B151">
            <v>16.7398249453</v>
          </cell>
        </row>
        <row r="152">
          <cell r="A152" t="str">
            <v>荆门市</v>
          </cell>
          <cell r="B152">
            <v>7.97075028358</v>
          </cell>
        </row>
        <row r="153">
          <cell r="A153" t="str">
            <v>荆州市</v>
          </cell>
          <cell r="B153">
            <v>11.8485880517</v>
          </cell>
        </row>
        <row r="154">
          <cell r="A154" t="str">
            <v>潜江市</v>
          </cell>
          <cell r="B154">
            <v>14.7817360763</v>
          </cell>
        </row>
        <row r="155">
          <cell r="A155" t="str">
            <v>神农架林区</v>
          </cell>
          <cell r="B155">
            <v>1.46786155748</v>
          </cell>
        </row>
        <row r="156">
          <cell r="A156" t="str">
            <v>十堰市</v>
          </cell>
          <cell r="B156">
            <v>3.84988403964</v>
          </cell>
        </row>
        <row r="157">
          <cell r="A157" t="str">
            <v>随州市</v>
          </cell>
          <cell r="B157">
            <v>6.44775964237</v>
          </cell>
        </row>
        <row r="158">
          <cell r="A158" t="str">
            <v>天门市</v>
          </cell>
          <cell r="B158">
            <v>12.1266743207</v>
          </cell>
        </row>
        <row r="159">
          <cell r="A159" t="str">
            <v>武汉市</v>
          </cell>
          <cell r="B159">
            <v>30.354032917</v>
          </cell>
        </row>
        <row r="160">
          <cell r="A160" t="str">
            <v>仙桃市</v>
          </cell>
          <cell r="B160">
            <v>14.0489065606</v>
          </cell>
        </row>
        <row r="161">
          <cell r="A161" t="str">
            <v>咸宁市</v>
          </cell>
          <cell r="B161">
            <v>9.26395730706</v>
          </cell>
        </row>
        <row r="162">
          <cell r="A162" t="str">
            <v>襄阳市</v>
          </cell>
          <cell r="B162">
            <v>8.17181868941</v>
          </cell>
        </row>
        <row r="163">
          <cell r="A163" t="str">
            <v>孝感市</v>
          </cell>
          <cell r="B163">
            <v>13.689190706</v>
          </cell>
        </row>
        <row r="164">
          <cell r="A164" t="str">
            <v>宜昌市</v>
          </cell>
          <cell r="B164">
            <v>7.68912429379</v>
          </cell>
        </row>
        <row r="165">
          <cell r="A165" t="str">
            <v>常德市</v>
          </cell>
          <cell r="B165">
            <v>8.56639700622</v>
          </cell>
        </row>
        <row r="166">
          <cell r="A166" t="str">
            <v>郴州市</v>
          </cell>
          <cell r="B166">
            <v>6.09827755651</v>
          </cell>
        </row>
        <row r="167">
          <cell r="A167" t="str">
            <v>衡阳市</v>
          </cell>
          <cell r="B167">
            <v>8.26505158678</v>
          </cell>
        </row>
        <row r="168">
          <cell r="A168" t="str">
            <v>怀化市</v>
          </cell>
          <cell r="B168">
            <v>3.98300838689</v>
          </cell>
        </row>
        <row r="169">
          <cell r="A169" t="str">
            <v>娄底市</v>
          </cell>
          <cell r="B169">
            <v>9.7477799704</v>
          </cell>
        </row>
        <row r="170">
          <cell r="A170" t="str">
            <v>邵阳市</v>
          </cell>
          <cell r="B170">
            <v>5.67925253399</v>
          </cell>
        </row>
        <row r="171">
          <cell r="A171" t="str">
            <v>湘潭市</v>
          </cell>
          <cell r="B171">
            <v>14.0946107784</v>
          </cell>
        </row>
        <row r="172">
          <cell r="A172" t="str">
            <v>湘西土家族苗族自治州</v>
          </cell>
          <cell r="B172">
            <v>4.41887791336</v>
          </cell>
        </row>
        <row r="173">
          <cell r="A173" t="str">
            <v>益阳市</v>
          </cell>
          <cell r="B173">
            <v>7.23253549696</v>
          </cell>
        </row>
        <row r="174">
          <cell r="A174" t="str">
            <v>永州市</v>
          </cell>
          <cell r="B174">
            <v>5.67668296183</v>
          </cell>
        </row>
        <row r="175">
          <cell r="A175" t="str">
            <v>岳阳市</v>
          </cell>
          <cell r="B175">
            <v>9.73380423814</v>
          </cell>
        </row>
        <row r="176">
          <cell r="A176" t="str">
            <v>张家界市</v>
          </cell>
          <cell r="B176">
            <v>4.52183956321</v>
          </cell>
        </row>
        <row r="177">
          <cell r="A177" t="str">
            <v>长沙市</v>
          </cell>
          <cell r="B177">
            <v>17.9911280101</v>
          </cell>
        </row>
        <row r="178">
          <cell r="A178" t="str">
            <v>株洲市</v>
          </cell>
          <cell r="B178">
            <v>7.7095601277</v>
          </cell>
        </row>
        <row r="179">
          <cell r="A179" t="str">
            <v>白城市</v>
          </cell>
          <cell r="B179">
            <v>6.80651802362</v>
          </cell>
        </row>
        <row r="180">
          <cell r="A180" t="str">
            <v>白山市</v>
          </cell>
          <cell r="B180">
            <v>4.35549813379</v>
          </cell>
        </row>
        <row r="181">
          <cell r="A181" t="str">
            <v>吉林市</v>
          </cell>
          <cell r="B181">
            <v>8.58246753247</v>
          </cell>
        </row>
        <row r="182">
          <cell r="A182" t="str">
            <v>辽源市</v>
          </cell>
          <cell r="B182">
            <v>13.3407984421</v>
          </cell>
        </row>
        <row r="183">
          <cell r="A183" t="str">
            <v>四平市</v>
          </cell>
          <cell r="B183">
            <v>12.3771998436</v>
          </cell>
        </row>
        <row r="184">
          <cell r="A184" t="str">
            <v>松原市</v>
          </cell>
          <cell r="B184">
            <v>10.0025974026</v>
          </cell>
        </row>
        <row r="185">
          <cell r="A185" t="str">
            <v>通化市</v>
          </cell>
          <cell r="B185">
            <v>7.7901877572</v>
          </cell>
        </row>
        <row r="186">
          <cell r="A186" t="str">
            <v>延边朝鲜族自治州</v>
          </cell>
          <cell r="B186">
            <v>3.25726169844</v>
          </cell>
        </row>
        <row r="187">
          <cell r="A187" t="str">
            <v>长春市</v>
          </cell>
          <cell r="B187">
            <v>17.1519330314</v>
          </cell>
        </row>
        <row r="188">
          <cell r="A188" t="str">
            <v>常州市</v>
          </cell>
          <cell r="B188">
            <v>38.7130075705</v>
          </cell>
        </row>
        <row r="189">
          <cell r="A189" t="str">
            <v>淮安市</v>
          </cell>
          <cell r="B189">
            <v>18.35965349</v>
          </cell>
        </row>
        <row r="190">
          <cell r="A190" t="str">
            <v>连云港市</v>
          </cell>
          <cell r="B190">
            <v>24.2877887789</v>
          </cell>
        </row>
        <row r="191">
          <cell r="A191" t="str">
            <v>南京市</v>
          </cell>
          <cell r="B191">
            <v>37.4964323668</v>
          </cell>
        </row>
        <row r="192">
          <cell r="A192" t="str">
            <v>南通市</v>
          </cell>
          <cell r="B192">
            <v>30.4164973588</v>
          </cell>
        </row>
        <row r="193">
          <cell r="A193" t="str">
            <v>苏州市</v>
          </cell>
          <cell r="B193">
            <v>46.5237874754</v>
          </cell>
        </row>
        <row r="194">
          <cell r="A194" t="str">
            <v>宿迁市</v>
          </cell>
          <cell r="B194">
            <v>20.2050169968</v>
          </cell>
        </row>
        <row r="195">
          <cell r="A195" t="str">
            <v>泰州市</v>
          </cell>
          <cell r="B195">
            <v>32.0734229576</v>
          </cell>
        </row>
        <row r="196">
          <cell r="A196" t="str">
            <v>无锡市</v>
          </cell>
          <cell r="B196">
            <v>44.8916151056</v>
          </cell>
        </row>
        <row r="197">
          <cell r="A197" t="str">
            <v>徐州市</v>
          </cell>
          <cell r="B197">
            <v>24.021629869</v>
          </cell>
        </row>
        <row r="198">
          <cell r="A198" t="str">
            <v>盐城市</v>
          </cell>
          <cell r="B198">
            <v>20.3619053565</v>
          </cell>
        </row>
        <row r="199">
          <cell r="A199" t="str">
            <v>扬州市</v>
          </cell>
          <cell r="B199">
            <v>26.3192395437</v>
          </cell>
        </row>
        <row r="200">
          <cell r="A200" t="str">
            <v>镇江市</v>
          </cell>
          <cell r="B200">
            <v>34.6218049035</v>
          </cell>
        </row>
        <row r="201">
          <cell r="A201" t="str">
            <v>抚州市</v>
          </cell>
          <cell r="B201">
            <v>5.89552397679</v>
          </cell>
        </row>
        <row r="202">
          <cell r="A202" t="str">
            <v>赣州市</v>
          </cell>
          <cell r="B202">
            <v>6.37244742457</v>
          </cell>
        </row>
        <row r="203">
          <cell r="A203" t="str">
            <v>吉安市</v>
          </cell>
          <cell r="B203">
            <v>5.19686659282</v>
          </cell>
        </row>
        <row r="204">
          <cell r="A204" t="str">
            <v>景德镇市</v>
          </cell>
          <cell r="B204">
            <v>10.2088184768</v>
          </cell>
        </row>
        <row r="205">
          <cell r="A205" t="str">
            <v>九江市</v>
          </cell>
          <cell r="B205">
            <v>8.78888365027</v>
          </cell>
        </row>
        <row r="206">
          <cell r="A206" t="str">
            <v>南昌市</v>
          </cell>
          <cell r="B206">
            <v>20.3790849673</v>
          </cell>
        </row>
        <row r="207">
          <cell r="A207" t="str">
            <v>萍乡市</v>
          </cell>
          <cell r="B207">
            <v>10.1224115334</v>
          </cell>
        </row>
        <row r="208">
          <cell r="A208" t="str">
            <v>上饶市</v>
          </cell>
          <cell r="B208">
            <v>7.9010457861</v>
          </cell>
        </row>
        <row r="209">
          <cell r="A209" t="str">
            <v>新余市</v>
          </cell>
          <cell r="B209">
            <v>11.4753632344</v>
          </cell>
        </row>
        <row r="210">
          <cell r="A210" t="str">
            <v>宜春市</v>
          </cell>
          <cell r="B210">
            <v>9.29936783457</v>
          </cell>
        </row>
        <row r="211">
          <cell r="A211" t="str">
            <v>鹰潭市</v>
          </cell>
          <cell r="B211">
            <v>10.7475975127</v>
          </cell>
        </row>
        <row r="212">
          <cell r="A212" t="str">
            <v>鞍山市</v>
          </cell>
          <cell r="B212">
            <v>14.2150792795</v>
          </cell>
        </row>
        <row r="213">
          <cell r="A213" t="str">
            <v>本溪市</v>
          </cell>
          <cell r="B213">
            <v>8.65370018975</v>
          </cell>
        </row>
        <row r="214">
          <cell r="A214" t="str">
            <v>朝阳市</v>
          </cell>
          <cell r="B214">
            <v>10.4546607804</v>
          </cell>
        </row>
        <row r="215">
          <cell r="A215" t="str">
            <v>大连市</v>
          </cell>
          <cell r="B215">
            <v>18.3423657779</v>
          </cell>
        </row>
        <row r="216">
          <cell r="A216" t="str">
            <v>丹东市</v>
          </cell>
          <cell r="B216">
            <v>7.73978450905</v>
          </cell>
        </row>
        <row r="217">
          <cell r="A217" t="str">
            <v>抚顺市</v>
          </cell>
          <cell r="B217">
            <v>8.77256990679</v>
          </cell>
        </row>
        <row r="218">
          <cell r="A218" t="str">
            <v>阜新市</v>
          </cell>
          <cell r="B218">
            <v>10.4903557236</v>
          </cell>
        </row>
        <row r="219">
          <cell r="A219" t="str">
            <v>葫芦岛市</v>
          </cell>
          <cell r="B219">
            <v>11.6967748037</v>
          </cell>
        </row>
        <row r="220">
          <cell r="A220" t="str">
            <v>锦州市</v>
          </cell>
          <cell r="B220">
            <v>13.3262397308</v>
          </cell>
        </row>
        <row r="221">
          <cell r="A221" t="str">
            <v>辽阳市</v>
          </cell>
          <cell r="B221">
            <v>17.8962664404</v>
          </cell>
        </row>
        <row r="222">
          <cell r="A222" t="str">
            <v>盘锦市</v>
          </cell>
          <cell r="B222">
            <v>22.240188383</v>
          </cell>
        </row>
        <row r="223">
          <cell r="A223" t="str">
            <v>沈阳市</v>
          </cell>
          <cell r="B223">
            <v>19.970444116</v>
          </cell>
        </row>
        <row r="224">
          <cell r="A224" t="str">
            <v>铁岭市</v>
          </cell>
          <cell r="B224">
            <v>11.6892994611</v>
          </cell>
        </row>
        <row r="225">
          <cell r="A225" t="str">
            <v>营口市</v>
          </cell>
          <cell r="B225">
            <v>19.3040552828</v>
          </cell>
        </row>
        <row r="226">
          <cell r="A226" t="str">
            <v>阿拉善盟</v>
          </cell>
          <cell r="B226">
            <v>0.378434025777</v>
          </cell>
        </row>
        <row r="227">
          <cell r="A227" t="str">
            <v>巴彦淖尔市</v>
          </cell>
          <cell r="B227">
            <v>2.32312486568</v>
          </cell>
        </row>
        <row r="228">
          <cell r="A228" t="str">
            <v>包头市</v>
          </cell>
          <cell r="B228">
            <v>4.38625738412</v>
          </cell>
        </row>
        <row r="229">
          <cell r="A229" t="str">
            <v>赤峰市</v>
          </cell>
          <cell r="B229">
            <v>3.89626723126</v>
          </cell>
        </row>
        <row r="230">
          <cell r="A230" t="str">
            <v>鄂尔多斯市</v>
          </cell>
          <cell r="B230">
            <v>4.73382388503</v>
          </cell>
        </row>
        <row r="231">
          <cell r="A231" t="str">
            <v>呼和浩特市</v>
          </cell>
          <cell r="B231">
            <v>9.44577751893</v>
          </cell>
        </row>
        <row r="232">
          <cell r="A232" t="str">
            <v>呼伦贝尔市</v>
          </cell>
          <cell r="B232">
            <v>1.58753234982</v>
          </cell>
        </row>
        <row r="233">
          <cell r="A233" t="str">
            <v>通辽市</v>
          </cell>
          <cell r="B233">
            <v>5.08437192244</v>
          </cell>
        </row>
        <row r="234">
          <cell r="A234" t="str">
            <v>乌海市</v>
          </cell>
          <cell r="B234">
            <v>25.4839879154</v>
          </cell>
        </row>
        <row r="235">
          <cell r="A235" t="str">
            <v>乌兰察布市</v>
          </cell>
          <cell r="B235">
            <v>2.98197718212</v>
          </cell>
        </row>
        <row r="236">
          <cell r="A236" t="str">
            <v>锡林郭勒盟</v>
          </cell>
          <cell r="B236">
            <v>0.831923821336</v>
          </cell>
        </row>
        <row r="237">
          <cell r="A237" t="str">
            <v>兴安盟</v>
          </cell>
          <cell r="B237">
            <v>3.50530573745</v>
          </cell>
        </row>
        <row r="238">
          <cell r="A238" t="str">
            <v>固原市</v>
          </cell>
          <cell r="B238">
            <v>6.23985169693</v>
          </cell>
        </row>
        <row r="239">
          <cell r="A239" t="str">
            <v>石嘴山市</v>
          </cell>
          <cell r="B239">
            <v>12.320560059</v>
          </cell>
        </row>
        <row r="240">
          <cell r="A240" t="str">
            <v>吴忠市</v>
          </cell>
          <cell r="B240">
            <v>7.76819615545</v>
          </cell>
        </row>
        <row r="241">
          <cell r="A241" t="str">
            <v>银川市</v>
          </cell>
          <cell r="B241">
            <v>19.2708937899</v>
          </cell>
        </row>
        <row r="242">
          <cell r="A242" t="str">
            <v>中卫市</v>
          </cell>
          <cell r="B242">
            <v>5.70491562729</v>
          </cell>
        </row>
        <row r="243">
          <cell r="A243" t="str">
            <v>果洛藏族自治州</v>
          </cell>
          <cell r="B243">
            <v>0.321692067424</v>
          </cell>
        </row>
        <row r="244">
          <cell r="A244" t="str">
            <v>海北藏族自治州</v>
          </cell>
          <cell r="B244">
            <v>0.714838184409</v>
          </cell>
        </row>
        <row r="245">
          <cell r="A245" t="str">
            <v>海东市</v>
          </cell>
          <cell r="B245">
            <v>5.51738461538</v>
          </cell>
        </row>
        <row r="246">
          <cell r="A246" t="str">
            <v>海南藏族自治州</v>
          </cell>
          <cell r="B246">
            <v>1.20110540317</v>
          </cell>
        </row>
        <row r="247">
          <cell r="A247" t="str">
            <v>海西蒙古族藏族自治州</v>
          </cell>
          <cell r="B247">
            <v>0.470794159497</v>
          </cell>
        </row>
        <row r="248">
          <cell r="A248" t="str">
            <v>黄南藏族自治州</v>
          </cell>
          <cell r="B248">
            <v>1.18546240852</v>
          </cell>
        </row>
        <row r="249">
          <cell r="A249" t="str">
            <v>西宁市</v>
          </cell>
          <cell r="B249">
            <v>8.4297564187</v>
          </cell>
        </row>
        <row r="250">
          <cell r="A250" t="str">
            <v>玉树藏族自治州</v>
          </cell>
          <cell r="B250">
            <v>0.151896942933</v>
          </cell>
        </row>
        <row r="251">
          <cell r="A251" t="str">
            <v>滨州市</v>
          </cell>
          <cell r="B251">
            <v>21.7015563349</v>
          </cell>
        </row>
        <row r="252">
          <cell r="A252" t="str">
            <v>德州市</v>
          </cell>
          <cell r="B252">
            <v>18.8915976103</v>
          </cell>
        </row>
        <row r="253">
          <cell r="A253" t="str">
            <v>东营市</v>
          </cell>
          <cell r="B253">
            <v>22.5149396058</v>
          </cell>
        </row>
        <row r="254">
          <cell r="A254" t="str">
            <v>菏泽市</v>
          </cell>
          <cell r="B254">
            <v>20.5591769547</v>
          </cell>
        </row>
        <row r="255">
          <cell r="A255" t="str">
            <v>济南市</v>
          </cell>
          <cell r="B255">
            <v>25.707166634</v>
          </cell>
        </row>
        <row r="256">
          <cell r="A256" t="str">
            <v>济宁市</v>
          </cell>
          <cell r="B256">
            <v>21.9911615034</v>
          </cell>
        </row>
        <row r="257">
          <cell r="A257" t="str">
            <v>聊城市</v>
          </cell>
          <cell r="B257">
            <v>20.8001620933</v>
          </cell>
        </row>
        <row r="258">
          <cell r="A258" t="str">
            <v>临沂市</v>
          </cell>
          <cell r="B258">
            <v>21.1542488222</v>
          </cell>
        </row>
        <row r="259">
          <cell r="A259" t="str">
            <v>青岛市</v>
          </cell>
          <cell r="B259">
            <v>27.7285574616</v>
          </cell>
        </row>
        <row r="260">
          <cell r="A260" t="str">
            <v>日照市</v>
          </cell>
          <cell r="B260">
            <v>20.6003325942</v>
          </cell>
        </row>
        <row r="261">
          <cell r="A261" t="str">
            <v>泰安市</v>
          </cell>
          <cell r="B261">
            <v>19.1106949109</v>
          </cell>
        </row>
        <row r="262">
          <cell r="A262" t="str">
            <v>威海市</v>
          </cell>
          <cell r="B262">
            <v>22.7798319328</v>
          </cell>
        </row>
        <row r="263">
          <cell r="A263" t="str">
            <v>潍坊市</v>
          </cell>
          <cell r="B263">
            <v>22.3198577578</v>
          </cell>
        </row>
        <row r="264">
          <cell r="A264" t="str">
            <v>烟台市</v>
          </cell>
          <cell r="B264">
            <v>19.3872106155</v>
          </cell>
        </row>
        <row r="265">
          <cell r="A265" t="str">
            <v>枣庄市</v>
          </cell>
          <cell r="B265">
            <v>23.8956692913</v>
          </cell>
        </row>
        <row r="266">
          <cell r="A266" t="str">
            <v>淄博市</v>
          </cell>
          <cell r="B266">
            <v>25.0720026792</v>
          </cell>
        </row>
        <row r="267">
          <cell r="A267" t="str">
            <v>大同市</v>
          </cell>
          <cell r="B267">
            <v>11.1968470388</v>
          </cell>
        </row>
        <row r="268">
          <cell r="A268" t="str">
            <v>晋城市</v>
          </cell>
          <cell r="B268">
            <v>11.7922284744</v>
          </cell>
        </row>
        <row r="269">
          <cell r="A269" t="str">
            <v>晋中市</v>
          </cell>
          <cell r="B269">
            <v>10.8446234591</v>
          </cell>
        </row>
        <row r="270">
          <cell r="A270" t="str">
            <v>临汾市</v>
          </cell>
          <cell r="B270">
            <v>8.54313445337</v>
          </cell>
        </row>
        <row r="271">
          <cell r="A271" t="str">
            <v>吕梁市</v>
          </cell>
          <cell r="B271">
            <v>9.33412221328</v>
          </cell>
        </row>
        <row r="272">
          <cell r="A272" t="str">
            <v>朔州市</v>
          </cell>
          <cell r="B272">
            <v>11.9333270553</v>
          </cell>
        </row>
        <row r="273">
          <cell r="A273" t="str">
            <v>太原市</v>
          </cell>
          <cell r="B273">
            <v>18.9545980335</v>
          </cell>
        </row>
        <row r="274">
          <cell r="A274" t="str">
            <v>忻州市</v>
          </cell>
          <cell r="B274">
            <v>7.84339023422</v>
          </cell>
        </row>
        <row r="275">
          <cell r="A275" t="str">
            <v>阳泉市</v>
          </cell>
          <cell r="B275">
            <v>11.3632581563</v>
          </cell>
        </row>
        <row r="276">
          <cell r="A276" t="str">
            <v>运城市</v>
          </cell>
          <cell r="B276">
            <v>11.7262180974</v>
          </cell>
        </row>
        <row r="277">
          <cell r="A277" t="str">
            <v>长治市</v>
          </cell>
          <cell r="B277">
            <v>11.892555476</v>
          </cell>
        </row>
        <row r="278">
          <cell r="A278" t="str">
            <v>安康市</v>
          </cell>
          <cell r="B278">
            <v>3.08220111589</v>
          </cell>
        </row>
        <row r="279">
          <cell r="A279" t="str">
            <v>宝鸡市</v>
          </cell>
          <cell r="B279">
            <v>5.37421922503</v>
          </cell>
        </row>
        <row r="280">
          <cell r="A280" t="str">
            <v>汉中市</v>
          </cell>
          <cell r="B280">
            <v>3.28035311934</v>
          </cell>
        </row>
        <row r="281">
          <cell r="A281" t="str">
            <v>商洛市</v>
          </cell>
          <cell r="B281">
            <v>3.1310094927</v>
          </cell>
        </row>
        <row r="282">
          <cell r="A282" t="str">
            <v>铜川市</v>
          </cell>
          <cell r="B282">
            <v>8.75768442623</v>
          </cell>
        </row>
        <row r="283">
          <cell r="A283" t="str">
            <v>渭南市</v>
          </cell>
          <cell r="B283">
            <v>10.8406377571</v>
          </cell>
        </row>
        <row r="284">
          <cell r="A284" t="str">
            <v>西安市</v>
          </cell>
          <cell r="B284">
            <v>17.5915841584</v>
          </cell>
        </row>
        <row r="285">
          <cell r="A285" t="str">
            <v>咸阳市</v>
          </cell>
          <cell r="B285">
            <v>13.9529844249</v>
          </cell>
        </row>
        <row r="286">
          <cell r="A286" t="str">
            <v>延安市</v>
          </cell>
          <cell r="B286">
            <v>6.8206291346</v>
          </cell>
        </row>
        <row r="287">
          <cell r="A287" t="str">
            <v>榆林市</v>
          </cell>
          <cell r="B287">
            <v>10.0430823688</v>
          </cell>
        </row>
        <row r="288">
          <cell r="A288" t="str">
            <v>上海市</v>
          </cell>
          <cell r="B288">
            <v>46.7962198022</v>
          </cell>
        </row>
        <row r="289">
          <cell r="A289" t="str">
            <v>阿坝藏族羌族自治州</v>
          </cell>
          <cell r="B289">
            <v>1.12503614806</v>
          </cell>
        </row>
        <row r="290">
          <cell r="A290" t="str">
            <v>巴中市</v>
          </cell>
          <cell r="B290">
            <v>4.97720797721</v>
          </cell>
        </row>
        <row r="291">
          <cell r="A291" t="str">
            <v>成都市</v>
          </cell>
          <cell r="B291">
            <v>23.7297787703</v>
          </cell>
        </row>
        <row r="292">
          <cell r="A292" t="str">
            <v>达州市</v>
          </cell>
          <cell r="B292">
            <v>6.49315729186</v>
          </cell>
        </row>
        <row r="293">
          <cell r="A293" t="str">
            <v>德阳市</v>
          </cell>
          <cell r="B293">
            <v>15.2002369668</v>
          </cell>
        </row>
        <row r="294">
          <cell r="A294" t="str">
            <v>甘孜藏族自治州</v>
          </cell>
          <cell r="B294">
            <v>0.984557119288</v>
          </cell>
        </row>
        <row r="295">
          <cell r="A295" t="str">
            <v>广安市</v>
          </cell>
          <cell r="B295">
            <v>10.8547318612</v>
          </cell>
        </row>
        <row r="296">
          <cell r="A296" t="str">
            <v>广元市</v>
          </cell>
          <cell r="B296">
            <v>4.72492187021</v>
          </cell>
        </row>
        <row r="297">
          <cell r="A297" t="str">
            <v>乐山市</v>
          </cell>
          <cell r="B297">
            <v>6.53523226616</v>
          </cell>
        </row>
        <row r="298">
          <cell r="A298" t="str">
            <v>凉山彝族自治州</v>
          </cell>
          <cell r="B298">
            <v>3.01832760596</v>
          </cell>
        </row>
        <row r="299">
          <cell r="A299" t="str">
            <v>泸州市</v>
          </cell>
          <cell r="B299">
            <v>8.02311147407</v>
          </cell>
        </row>
        <row r="300">
          <cell r="A300" t="str">
            <v>眉山市</v>
          </cell>
          <cell r="B300">
            <v>12.2327166504</v>
          </cell>
        </row>
        <row r="301">
          <cell r="A301" t="str">
            <v>绵阳市</v>
          </cell>
          <cell r="B301">
            <v>6.86804835924</v>
          </cell>
        </row>
        <row r="302">
          <cell r="A302" t="str">
            <v>南充市</v>
          </cell>
          <cell r="B302">
            <v>10.0908726982</v>
          </cell>
        </row>
        <row r="303">
          <cell r="A303" t="str">
            <v>内江市</v>
          </cell>
          <cell r="B303">
            <v>12.4625673416</v>
          </cell>
        </row>
        <row r="304">
          <cell r="A304" t="str">
            <v>攀枝花市</v>
          </cell>
          <cell r="B304">
            <v>5.55283783784</v>
          </cell>
        </row>
        <row r="305">
          <cell r="A305" t="str">
            <v>遂宁市</v>
          </cell>
          <cell r="B305">
            <v>13.5620300752</v>
          </cell>
        </row>
        <row r="306">
          <cell r="A306" t="str">
            <v>雅安市</v>
          </cell>
          <cell r="B306">
            <v>3.41965179107</v>
          </cell>
        </row>
        <row r="307">
          <cell r="A307" t="str">
            <v>宜宾市</v>
          </cell>
          <cell r="B307">
            <v>9.20320855615</v>
          </cell>
        </row>
        <row r="308">
          <cell r="A308" t="str">
            <v>资阳市</v>
          </cell>
          <cell r="B308">
            <v>10.4399721206</v>
          </cell>
        </row>
        <row r="309">
          <cell r="A309" t="str">
            <v>自贡市</v>
          </cell>
          <cell r="B309">
            <v>12.3153916628</v>
          </cell>
        </row>
        <row r="310">
          <cell r="A310" t="str">
            <v>台湾省</v>
          </cell>
          <cell r="B310">
            <v>0</v>
          </cell>
        </row>
        <row r="311">
          <cell r="A311" t="str">
            <v>天津市</v>
          </cell>
          <cell r="B311">
            <v>34.2142975343</v>
          </cell>
        </row>
        <row r="312">
          <cell r="A312" t="str">
            <v>阿里地区</v>
          </cell>
          <cell r="B312">
            <v>0.121386168575</v>
          </cell>
        </row>
        <row r="313">
          <cell r="A313" t="str">
            <v>昌都市</v>
          </cell>
          <cell r="B313">
            <v>0.584930234253</v>
          </cell>
        </row>
        <row r="314">
          <cell r="A314" t="str">
            <v>拉萨市</v>
          </cell>
          <cell r="B314">
            <v>1.98925491781</v>
          </cell>
        </row>
        <row r="315">
          <cell r="A315" t="str">
            <v>林芝市</v>
          </cell>
          <cell r="B315">
            <v>0.449988230473</v>
          </cell>
        </row>
        <row r="316">
          <cell r="A316" t="str">
            <v>那曲市</v>
          </cell>
          <cell r="B316">
            <v>0.113128978253</v>
          </cell>
        </row>
        <row r="317">
          <cell r="A317" t="str">
            <v>日喀则市</v>
          </cell>
          <cell r="B317">
            <v>0.490104454531</v>
          </cell>
        </row>
        <row r="318">
          <cell r="A318" t="str">
            <v>山南市</v>
          </cell>
          <cell r="B318">
            <v>1.06285018888</v>
          </cell>
        </row>
        <row r="319">
          <cell r="A319" t="str">
            <v>香港特别行政区</v>
          </cell>
          <cell r="B319">
            <v>6.55745341615</v>
          </cell>
        </row>
        <row r="320">
          <cell r="A320" t="str">
            <v>阿克苏地区</v>
          </cell>
          <cell r="B320">
            <v>3.97215461312</v>
          </cell>
        </row>
        <row r="321">
          <cell r="A321" t="str">
            <v>阿拉尔市</v>
          </cell>
          <cell r="B321">
            <v>7.5668202765</v>
          </cell>
        </row>
        <row r="322">
          <cell r="A322" t="str">
            <v>阿勒泰地区</v>
          </cell>
          <cell r="B322">
            <v>1.65487331269</v>
          </cell>
        </row>
        <row r="323">
          <cell r="A323" t="str">
            <v>巴音郭楞蒙古自治州</v>
          </cell>
          <cell r="B323">
            <v>0.499560408756</v>
          </cell>
        </row>
        <row r="324">
          <cell r="A324" t="str">
            <v>北屯市</v>
          </cell>
          <cell r="B324">
            <v>10.6150490731</v>
          </cell>
        </row>
        <row r="325">
          <cell r="A325" t="str">
            <v>博尔塔拉蒙古自治州</v>
          </cell>
          <cell r="B325">
            <v>3.10329109689</v>
          </cell>
        </row>
        <row r="326">
          <cell r="A326" t="str">
            <v>昌吉回族自治州</v>
          </cell>
          <cell r="B326">
            <v>4.44397560843</v>
          </cell>
        </row>
        <row r="327">
          <cell r="A327" t="str">
            <v>哈密市</v>
          </cell>
          <cell r="B327">
            <v>1.01450534114</v>
          </cell>
        </row>
        <row r="328">
          <cell r="A328" t="str">
            <v>和田地区</v>
          </cell>
          <cell r="B328">
            <v>0.769538608306</v>
          </cell>
        </row>
        <row r="329">
          <cell r="A329" t="str">
            <v>胡杨河市</v>
          </cell>
          <cell r="B329">
            <v>13.7710120069</v>
          </cell>
        </row>
        <row r="330">
          <cell r="A330" t="str">
            <v>喀什地区</v>
          </cell>
          <cell r="B330">
            <v>2.4200581527</v>
          </cell>
        </row>
        <row r="331">
          <cell r="A331" t="str">
            <v>可克达拉市</v>
          </cell>
          <cell r="B331">
            <v>11.7874762808</v>
          </cell>
        </row>
        <row r="332">
          <cell r="A332" t="str">
            <v>克拉玛依市</v>
          </cell>
          <cell r="B332">
            <v>12.7395439922</v>
          </cell>
        </row>
        <row r="333">
          <cell r="A333" t="str">
            <v>克孜勒苏柯尔克孜自治州</v>
          </cell>
          <cell r="B333">
            <v>0.999426712339</v>
          </cell>
        </row>
        <row r="334">
          <cell r="A334" t="str">
            <v>昆玉市</v>
          </cell>
          <cell r="B334">
            <v>8.71982116244</v>
          </cell>
        </row>
        <row r="335">
          <cell r="A335" t="str">
            <v>石河子市</v>
          </cell>
          <cell r="B335">
            <v>35.4826086957</v>
          </cell>
        </row>
        <row r="336">
          <cell r="A336" t="str">
            <v>双河市</v>
          </cell>
          <cell r="B336">
            <v>11.2148760331</v>
          </cell>
        </row>
        <row r="337">
          <cell r="A337" t="str">
            <v>塔城地区</v>
          </cell>
          <cell r="B337">
            <v>2.69165583627</v>
          </cell>
        </row>
        <row r="338">
          <cell r="A338" t="str">
            <v>铁门关市</v>
          </cell>
          <cell r="B338">
            <v>14.8310580205</v>
          </cell>
        </row>
        <row r="339">
          <cell r="A339" t="str">
            <v>图木舒克市</v>
          </cell>
          <cell r="B339">
            <v>11.4887257472</v>
          </cell>
        </row>
        <row r="340">
          <cell r="A340" t="str">
            <v>吐鲁番市</v>
          </cell>
          <cell r="B340">
            <v>1.27279022462</v>
          </cell>
        </row>
        <row r="341">
          <cell r="A341" t="str">
            <v>乌鲁木齐市</v>
          </cell>
          <cell r="B341">
            <v>9.93632589883</v>
          </cell>
        </row>
        <row r="342">
          <cell r="A342" t="str">
            <v>五家渠市</v>
          </cell>
          <cell r="B342">
            <v>17.9301075269</v>
          </cell>
        </row>
        <row r="343">
          <cell r="A343" t="str">
            <v>新星市</v>
          </cell>
          <cell r="B343">
            <v>3.12340764331</v>
          </cell>
        </row>
        <row r="344">
          <cell r="A344" t="str">
            <v>伊犁哈萨克自治州</v>
          </cell>
          <cell r="B344">
            <v>3.55783720972</v>
          </cell>
        </row>
        <row r="345">
          <cell r="A345" t="str">
            <v>保山市</v>
          </cell>
          <cell r="B345">
            <v>4.68270440252</v>
          </cell>
        </row>
        <row r="346">
          <cell r="A346" t="str">
            <v>楚雄彝族自治州</v>
          </cell>
          <cell r="B346">
            <v>3.51891207206</v>
          </cell>
        </row>
        <row r="347">
          <cell r="A347" t="str">
            <v>大理白族自治州</v>
          </cell>
          <cell r="B347">
            <v>4.45519459861</v>
          </cell>
        </row>
        <row r="348">
          <cell r="A348" t="str">
            <v>德宏傣族景颇族自治州</v>
          </cell>
          <cell r="B348">
            <v>5.32430493274</v>
          </cell>
        </row>
        <row r="349">
          <cell r="A349" t="str">
            <v>迪庆藏族自治州</v>
          </cell>
          <cell r="B349">
            <v>1.7265827152</v>
          </cell>
        </row>
        <row r="350">
          <cell r="A350" t="str">
            <v>红河哈尼族彝族自治州</v>
          </cell>
          <cell r="B350">
            <v>4.88729285203</v>
          </cell>
        </row>
        <row r="351">
          <cell r="A351" t="str">
            <v>昆明市</v>
          </cell>
          <cell r="B351">
            <v>10.8869647954</v>
          </cell>
        </row>
        <row r="352">
          <cell r="A352" t="str">
            <v>丽江市</v>
          </cell>
          <cell r="B352">
            <v>2.99178015564</v>
          </cell>
        </row>
        <row r="353">
          <cell r="A353" t="str">
            <v>临沧市</v>
          </cell>
          <cell r="B353">
            <v>3.80294192239</v>
          </cell>
        </row>
        <row r="354">
          <cell r="A354" t="str">
            <v>怒江傈僳族自治州</v>
          </cell>
          <cell r="B354">
            <v>2.11090560351</v>
          </cell>
        </row>
        <row r="355">
          <cell r="A355" t="str">
            <v>普洱市</v>
          </cell>
          <cell r="B355">
            <v>2.1491464104</v>
          </cell>
        </row>
        <row r="356">
          <cell r="A356" t="str">
            <v>曲靖市</v>
          </cell>
          <cell r="B356">
            <v>6.74603284356</v>
          </cell>
        </row>
        <row r="357">
          <cell r="A357" t="str">
            <v>文山壮族苗族自治州</v>
          </cell>
          <cell r="B357">
            <v>3.76297781597</v>
          </cell>
        </row>
        <row r="358">
          <cell r="A358" t="str">
            <v>西双版纳傣族自治州</v>
          </cell>
          <cell r="B358">
            <v>3.58797292334</v>
          </cell>
        </row>
        <row r="359">
          <cell r="A359" t="str">
            <v>玉溪市</v>
          </cell>
          <cell r="B359">
            <v>6.27324998329</v>
          </cell>
        </row>
        <row r="360">
          <cell r="A360" t="str">
            <v>昭通市</v>
          </cell>
          <cell r="B360">
            <v>5.2740318196</v>
          </cell>
        </row>
        <row r="361">
          <cell r="A361" t="str">
            <v>杭州市</v>
          </cell>
          <cell r="B361">
            <v>19.9850622407</v>
          </cell>
        </row>
        <row r="362">
          <cell r="A362" t="str">
            <v>湖州市</v>
          </cell>
          <cell r="B362">
            <v>30.2539082632</v>
          </cell>
        </row>
        <row r="363">
          <cell r="A363" t="str">
            <v>嘉兴市</v>
          </cell>
          <cell r="B363">
            <v>45.6172248804</v>
          </cell>
        </row>
        <row r="364">
          <cell r="A364" t="str">
            <v>金华市</v>
          </cell>
          <cell r="B364">
            <v>24.0535239666</v>
          </cell>
        </row>
        <row r="365">
          <cell r="A365" t="str">
            <v>丽水市</v>
          </cell>
          <cell r="B365">
            <v>7.76288181765</v>
          </cell>
        </row>
        <row r="366">
          <cell r="A366" t="str">
            <v>宁波市</v>
          </cell>
          <cell r="B366">
            <v>33.4504869347</v>
          </cell>
        </row>
        <row r="367">
          <cell r="A367" t="str">
            <v>衢州市</v>
          </cell>
          <cell r="B367">
            <v>13.3366101695</v>
          </cell>
        </row>
        <row r="368">
          <cell r="A368" t="str">
            <v>绍兴市</v>
          </cell>
          <cell r="B368">
            <v>26.2838327695</v>
          </cell>
        </row>
        <row r="369">
          <cell r="A369" t="str">
            <v>台州市</v>
          </cell>
          <cell r="B369">
            <v>23.4206670522</v>
          </cell>
        </row>
        <row r="370">
          <cell r="A370" t="str">
            <v>温州市</v>
          </cell>
          <cell r="B370">
            <v>25.1626260983</v>
          </cell>
        </row>
        <row r="371">
          <cell r="A371" t="str">
            <v>舟山市</v>
          </cell>
          <cell r="B371">
            <v>38.137254902</v>
          </cell>
        </row>
        <row r="372">
          <cell r="A372" t="str">
            <v>重庆市</v>
          </cell>
          <cell r="B372">
            <v>8.4734050301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8"/>
  <sheetViews>
    <sheetView tabSelected="1" topLeftCell="A300" workbookViewId="0">
      <selection activeCell="G16" sqref="G16"/>
    </sheetView>
  </sheetViews>
  <sheetFormatPr defaultColWidth="9" defaultRowHeight="14.4" outlineLevelCol="3"/>
  <cols>
    <col min="2" max="2" width="9" style="1"/>
    <col min="3" max="3" width="12.8888888888889" style="1"/>
    <col min="4" max="4" width="12.8888888888889" style="2"/>
  </cols>
  <sheetData>
    <row r="1" spans="1:4">
      <c r="A1" t="s">
        <v>0</v>
      </c>
      <c r="B1" s="3" t="s">
        <v>1</v>
      </c>
      <c r="C1" s="3" t="s">
        <v>2</v>
      </c>
      <c r="D1" s="4" t="s">
        <v>3</v>
      </c>
    </row>
    <row r="2" spans="1:4">
      <c r="A2" t="s">
        <v>4</v>
      </c>
      <c r="B2" s="1" t="str">
        <f>IFERROR(VLOOKUP(A2,[1]Sheet1!B:C,2,FALSE),"缺失")</f>
        <v>7101.0</v>
      </c>
      <c r="C2" s="1">
        <v>433.273015873016</v>
      </c>
      <c r="D2" s="2">
        <f>IFERROR(VLOOKUP(A2,[4]Sheet1!A:B,2,FALSE),"缺失")</f>
        <v>17.9730364257</v>
      </c>
    </row>
    <row r="3" spans="1:4">
      <c r="A3" t="s">
        <v>5</v>
      </c>
      <c r="B3" s="1" t="str">
        <f>IFERROR(VLOOKUP(A3,[1]Sheet1!B:C,2,FALSE),"缺失")</f>
        <v>8901.0</v>
      </c>
      <c r="C3" s="1">
        <v>362.421541318477</v>
      </c>
      <c r="D3" s="2">
        <f>IFERROR(VLOOKUP(A3,[4]Sheet1!A:B,2,FALSE),"缺失")</f>
        <v>22.738887316</v>
      </c>
    </row>
    <row r="4" spans="1:4">
      <c r="A4" t="s">
        <v>6</v>
      </c>
      <c r="B4" s="1" t="str">
        <f>IFERROR(VLOOKUP(A4,[1]Sheet1!B:C,2,FALSE),"缺失")</f>
        <v>1910.0</v>
      </c>
      <c r="C4" s="1">
        <v>233.029159955921</v>
      </c>
      <c r="D4" s="2">
        <f>IFERROR(VLOOKUP(A4,[4]Sheet1!A:B,2,FALSE),"缺失")</f>
        <v>14.3955176366</v>
      </c>
    </row>
    <row r="5" spans="1:4">
      <c r="A5" t="s">
        <v>7</v>
      </c>
      <c r="B5" s="1" t="str">
        <f>IFERROR(VLOOKUP(A5,[1]Sheet1!B:C,2,FALSE),"缺失")</f>
        <v>4346.0</v>
      </c>
      <c r="C5" s="1">
        <v>481.026404334189</v>
      </c>
      <c r="D5" s="2">
        <f>IFERROR(VLOOKUP(A5,[4]Sheet1!A:B,2,FALSE),"缺失")</f>
        <v>18.4631011609</v>
      </c>
    </row>
    <row r="6" spans="1:4">
      <c r="A6" t="s">
        <v>8</v>
      </c>
      <c r="B6" s="1" t="str">
        <f>IFERROR(VLOOKUP(A6,[1]Sheet1!B:C,2,FALSE),"缺失")</f>
        <v>2547.0</v>
      </c>
      <c r="C6" s="1">
        <v>366.085838324999</v>
      </c>
      <c r="D6" s="2">
        <f>IFERROR(VLOOKUP(A6,[4]Sheet1!A:B,2,FALSE),"缺失")</f>
        <v>16.9524346076</v>
      </c>
    </row>
    <row r="7" spans="1:4">
      <c r="A7" t="s">
        <v>9</v>
      </c>
      <c r="B7" s="1" t="str">
        <f>IFERROR(VLOOKUP(A7,[1]Sheet1!B:C,2,FALSE),"缺失")</f>
        <v>4608.0</v>
      </c>
      <c r="C7" s="1">
        <v>321.85506287227</v>
      </c>
      <c r="D7" s="2">
        <f>IFERROR(VLOOKUP(A7,[4]Sheet1!A:B,2,FALSE),"缺失")</f>
        <v>15.9681181609</v>
      </c>
    </row>
    <row r="8" spans="1:4">
      <c r="A8" t="s">
        <v>10</v>
      </c>
      <c r="B8" s="1" t="str">
        <f>IFERROR(VLOOKUP(A8,[1]Sheet1!B:C,2,FALSE),"缺失")</f>
        <v>1775.0</v>
      </c>
      <c r="C8" s="1">
        <v>82.6664544875875</v>
      </c>
      <c r="D8" s="2">
        <f>IFERROR(VLOOKUP(A8,[4]Sheet1!A:B,2,FALSE),"缺失")</f>
        <v>7.43130373272</v>
      </c>
    </row>
    <row r="9" spans="1:4">
      <c r="A9" t="s">
        <v>11</v>
      </c>
      <c r="B9" s="1" t="str">
        <f>IFERROR(VLOOKUP(A9,[1]Sheet1!B:C,2,FALSE),"缺失")</f>
        <v>1780.0</v>
      </c>
      <c r="C9" s="1">
        <v>61.3513951130156</v>
      </c>
      <c r="D9" s="2">
        <f>IFERROR(VLOOKUP(A9,[4]Sheet1!A:B,2,FALSE),"缺失")</f>
        <v>6.08767574414</v>
      </c>
    </row>
    <row r="10" spans="1:4">
      <c r="A10" t="s">
        <v>12</v>
      </c>
      <c r="B10" s="1" t="str">
        <f>IFERROR(VLOOKUP(A10,[1]Sheet1!B:C,2,FALSE),"缺失")</f>
        <v>4388.0</v>
      </c>
      <c r="C10" s="1">
        <v>322.668122480322</v>
      </c>
      <c r="D10" s="2">
        <f>IFERROR(VLOOKUP(A10,[4]Sheet1!A:B,2,FALSE),"缺失")</f>
        <v>20.0202386768</v>
      </c>
    </row>
    <row r="11" spans="1:4">
      <c r="A11" t="s">
        <v>13</v>
      </c>
      <c r="B11" s="1" t="str">
        <f>IFERROR(VLOOKUP(A11,[1]Sheet1!B:C,2,FALSE),"缺失")</f>
        <v>3565.0</v>
      </c>
      <c r="C11" s="1">
        <v>391.087110555382</v>
      </c>
      <c r="D11" s="2">
        <f>IFERROR(VLOOKUP(A11,[4]Sheet1!A:B,2,FALSE),"缺失")</f>
        <v>30.1236567513</v>
      </c>
    </row>
    <row r="12" spans="1:4">
      <c r="A12" t="s">
        <v>14</v>
      </c>
      <c r="B12" s="1" t="str">
        <f>IFERROR(VLOOKUP(A12,[1]Sheet1!B:C,2,FALSE),"缺失")</f>
        <v>1801.0</v>
      </c>
      <c r="C12" s="1">
        <v>332.340844638614</v>
      </c>
      <c r="D12" s="2">
        <f>IFERROR(VLOOKUP(A12,[4]Sheet1!A:B,2,FALSE),"缺失")</f>
        <v>15.8177596557</v>
      </c>
    </row>
    <row r="13" spans="1:4">
      <c r="A13" t="s">
        <v>15</v>
      </c>
      <c r="B13" s="1" t="str">
        <f>IFERROR(VLOOKUP(A13,[1]Sheet1!B:C,2,FALSE),"缺失")</f>
        <v>5571.0</v>
      </c>
      <c r="C13" s="1">
        <v>296.2879560612</v>
      </c>
      <c r="D13" s="2">
        <f>IFERROR(VLOOKUP(A13,[4]Sheet1!A:B,2,FALSE),"缺失")</f>
        <v>18.9545980335</v>
      </c>
    </row>
    <row r="14" spans="1:4">
      <c r="A14" t="s">
        <v>16</v>
      </c>
      <c r="B14" s="1" t="str">
        <f>IFERROR(VLOOKUP(A14,[1]Sheet1!B:C,2,FALSE),"缺失")</f>
        <v>1843.0</v>
      </c>
      <c r="C14" s="1">
        <v>138.088297323898</v>
      </c>
      <c r="D14" s="2">
        <f>IFERROR(VLOOKUP(A14,[4]Sheet1!A:B,2,FALSE),"缺失")</f>
        <v>11.1968470388</v>
      </c>
    </row>
    <row r="15" spans="1:4">
      <c r="A15" t="s">
        <v>17</v>
      </c>
      <c r="B15" s="1" t="str">
        <f>IFERROR(VLOOKUP(A15,[1]Sheet1!B:C,2,FALSE),"缺失")</f>
        <v>1013.0</v>
      </c>
      <c r="C15" s="1">
        <v>192.647241532318</v>
      </c>
      <c r="D15" s="2">
        <f>IFERROR(VLOOKUP(A15,[4]Sheet1!A:B,2,FALSE),"缺失")</f>
        <v>11.3632581563</v>
      </c>
    </row>
    <row r="16" spans="1:4">
      <c r="A16" t="s">
        <v>18</v>
      </c>
      <c r="B16" s="1" t="str">
        <f>IFERROR(VLOOKUP(A16,[1]Sheet1!B:C,2,FALSE),"缺失")</f>
        <v>2805.0</v>
      </c>
      <c r="C16" s="1">
        <v>160.61896039604</v>
      </c>
      <c r="D16" s="2">
        <f>IFERROR(VLOOKUP(A16,[4]Sheet1!A:B,2,FALSE),"缺失")</f>
        <v>11.892555476</v>
      </c>
    </row>
    <row r="17" spans="1:4">
      <c r="A17" t="s">
        <v>19</v>
      </c>
      <c r="B17" s="1" t="str">
        <f>IFERROR(VLOOKUP(A17,[1]Sheet1!B:C,2,FALSE),"缺失")</f>
        <v>2305.0</v>
      </c>
      <c r="C17" s="1">
        <v>159.277728351127</v>
      </c>
      <c r="D17" s="2">
        <f>IFERROR(VLOOKUP(A17,[4]Sheet1!A:B,2,FALSE),"缺失")</f>
        <v>11.7922284744</v>
      </c>
    </row>
    <row r="18" spans="1:4">
      <c r="A18" t="s">
        <v>20</v>
      </c>
      <c r="B18" s="1" t="str">
        <f>IFERROR(VLOOKUP(A18,[1]Sheet1!B:C,2,FALSE),"缺失")</f>
        <v>1536.0</v>
      </c>
      <c r="C18" s="1">
        <v>86.1837102385686</v>
      </c>
      <c r="D18" s="2">
        <f>IFERROR(VLOOKUP(A18,[4]Sheet1!A:B,2,FALSE),"缺失")</f>
        <v>11.9333270553</v>
      </c>
    </row>
    <row r="19" spans="1:4">
      <c r="A19" t="s">
        <v>21</v>
      </c>
      <c r="B19" s="1" t="str">
        <f>IFERROR(VLOOKUP(A19,[1]Sheet1!B:C,2,FALSE),"缺失")</f>
        <v>2112.0</v>
      </c>
      <c r="C19" s="1">
        <v>133.702710580006</v>
      </c>
      <c r="D19" s="2">
        <f>IFERROR(VLOOKUP(A19,[4]Sheet1!A:B,2,FALSE),"缺失")</f>
        <v>10.8446234591</v>
      </c>
    </row>
    <row r="20" spans="1:4">
      <c r="A20" t="s">
        <v>22</v>
      </c>
      <c r="B20" s="1" t="str">
        <f>IFERROR(VLOOKUP(A20,[1]Sheet1!B:C,2,FALSE),"缺失")</f>
        <v>2301.0</v>
      </c>
      <c r="C20" s="1">
        <v>234.000693103619</v>
      </c>
      <c r="D20" s="2">
        <f>IFERROR(VLOOKUP(A20,[4]Sheet1!A:B,2,FALSE),"缺失")</f>
        <v>11.7262180974</v>
      </c>
    </row>
    <row r="21" spans="1:4">
      <c r="A21" t="s">
        <v>23</v>
      </c>
      <c r="B21" s="1" t="str">
        <f>IFERROR(VLOOKUP(A21,[1]Sheet1!B:C,2,FALSE),"缺失")</f>
        <v>1501.0</v>
      </c>
      <c r="C21" s="1">
        <v>79.7353441855517</v>
      </c>
      <c r="D21" s="2">
        <f>IFERROR(VLOOKUP(A21,[4]Sheet1!A:B,2,FALSE),"缺失")</f>
        <v>7.84339023422</v>
      </c>
    </row>
    <row r="22" spans="1:4">
      <c r="A22" t="s">
        <v>24</v>
      </c>
      <c r="B22" s="1" t="str">
        <f>IFERROR(VLOOKUP(A22,[1]Sheet1!B:C,2,FALSE),"缺失")</f>
        <v>2228.0</v>
      </c>
      <c r="C22" s="1">
        <v>132.114659471275</v>
      </c>
      <c r="D22" s="2">
        <f>IFERROR(VLOOKUP(A22,[4]Sheet1!A:B,2,FALSE),"缺失")</f>
        <v>8.54313445337</v>
      </c>
    </row>
    <row r="23" spans="1:4">
      <c r="A23" t="s">
        <v>25</v>
      </c>
      <c r="B23" s="1" t="str">
        <f>IFERROR(VLOOKUP(A23,[1]Sheet1!B:C,2,FALSE),"缺失")</f>
        <v>2419.0</v>
      </c>
      <c r="C23" s="1">
        <v>105.904186977435</v>
      </c>
      <c r="D23" s="2">
        <f>IFERROR(VLOOKUP(A23,[4]Sheet1!A:B,2,FALSE),"缺失")</f>
        <v>9.33412221328</v>
      </c>
    </row>
    <row r="24" spans="1:4">
      <c r="A24" t="s">
        <v>26</v>
      </c>
      <c r="B24" s="1" t="str">
        <f>IFERROR(VLOOKUP(A24,[1]Sheet1!B:C,2,FALSE),"缺失")</f>
        <v>3329.0</v>
      </c>
      <c r="C24" s="1">
        <v>81.133987674047</v>
      </c>
      <c r="D24" s="2">
        <f>IFERROR(VLOOKUP(A24,[4]Sheet1!A:B,2,FALSE),"缺失")</f>
        <v>9.44577751893</v>
      </c>
    </row>
    <row r="25" spans="1:4">
      <c r="A25" t="s">
        <v>27</v>
      </c>
      <c r="B25" s="1" t="str">
        <f>IFERROR(VLOOKUP(A25,[1]Sheet1!B:C,2,FALSE),"缺失")</f>
        <v>3750.0</v>
      </c>
      <c r="C25" s="1">
        <v>48.65678678118</v>
      </c>
      <c r="D25" s="2">
        <f>IFERROR(VLOOKUP(A25,[4]Sheet1!A:B,2,FALSE),"缺失")</f>
        <v>4.38625738412</v>
      </c>
    </row>
    <row r="26" spans="1:4">
      <c r="A26" t="s">
        <v>28</v>
      </c>
      <c r="B26" s="1" t="str">
        <f>IFERROR(VLOOKUP(A26,[1]Sheet1!B:C,2,FALSE),"缺失")</f>
        <v>803.0</v>
      </c>
      <c r="C26" s="1">
        <v>140.032</v>
      </c>
      <c r="D26" s="2">
        <f>IFERROR(VLOOKUP(A26,[4]Sheet1!A:B,2,FALSE),"缺失")</f>
        <v>25.4839879154</v>
      </c>
    </row>
    <row r="27" spans="1:4">
      <c r="A27" t="s">
        <v>29</v>
      </c>
      <c r="B27" s="1" t="str">
        <f>IFERROR(VLOOKUP(A27,[1]Sheet1!B:C,2,FALSE),"缺失")</f>
        <v>2148.0</v>
      </c>
      <c r="C27" s="1">
        <v>32.7651938878478</v>
      </c>
      <c r="D27" s="2">
        <f>IFERROR(VLOOKUP(A27,[4]Sheet1!A:B,2,FALSE),"缺失")</f>
        <v>3.89626723126</v>
      </c>
    </row>
    <row r="28" spans="1:4">
      <c r="A28" t="s">
        <v>30</v>
      </c>
      <c r="B28" s="1" t="str">
        <f>IFERROR(VLOOKUP(A28,[1]Sheet1!B:C,2,FALSE),"缺失")</f>
        <v>1562.0</v>
      </c>
      <c r="C28" s="1">
        <v>32.2051725592777</v>
      </c>
      <c r="D28" s="2">
        <f>IFERROR(VLOOKUP(A28,[4]Sheet1!A:B,2,FALSE),"缺失")</f>
        <v>5.08437192244</v>
      </c>
    </row>
    <row r="29" spans="1:4">
      <c r="A29" t="s">
        <v>31</v>
      </c>
      <c r="B29" s="1" t="str">
        <f>IFERROR(VLOOKUP(A29,[1]Sheet1!B:C,2,FALSE),"缺失")</f>
        <v>5613.0</v>
      </c>
      <c r="C29" s="1">
        <v>10.1087285570131</v>
      </c>
      <c r="D29" s="2">
        <f>IFERROR(VLOOKUP(A29,[4]Sheet1!A:B,2,FALSE),"缺失")</f>
        <v>4.73382388503</v>
      </c>
    </row>
    <row r="30" spans="1:4">
      <c r="A30" t="s">
        <v>32</v>
      </c>
      <c r="B30" s="1" t="str">
        <f>IFERROR(VLOOKUP(A30,[1]Sheet1!B:C,2,FALSE),"缺失")</f>
        <v>1536.0</v>
      </c>
      <c r="C30" s="1">
        <v>6.66126118973423</v>
      </c>
      <c r="D30" s="2">
        <f>IFERROR(VLOOKUP(A30,[4]Sheet1!A:B,2,FALSE),"缺失")</f>
        <v>1.58753234982</v>
      </c>
    </row>
    <row r="31" spans="1:4">
      <c r="A31" t="s">
        <v>33</v>
      </c>
      <c r="B31" s="1" t="str">
        <f>IFERROR(VLOOKUP(A31,[1]Sheet1!B:C,2,FALSE),"缺失")</f>
        <v>1085.0</v>
      </c>
      <c r="C31" s="1">
        <v>17.1249245564911</v>
      </c>
      <c r="D31" s="2">
        <f>IFERROR(VLOOKUP(A31,[4]Sheet1!A:B,2,FALSE),"缺失")</f>
        <v>2.32312486568</v>
      </c>
    </row>
    <row r="32" spans="1:4">
      <c r="A32" t="s">
        <v>34</v>
      </c>
      <c r="B32" s="1" t="str">
        <f>IFERROR(VLOOKUP(A32,[1]Sheet1!B:C,2,FALSE),"缺失")</f>
        <v>1018.0</v>
      </c>
      <c r="C32" s="1">
        <v>33.8709559430823</v>
      </c>
      <c r="D32" s="2">
        <f>IFERROR(VLOOKUP(A32,[4]Sheet1!A:B,2,FALSE),"缺失")</f>
        <v>2.98197718212</v>
      </c>
    </row>
    <row r="33" spans="1:4">
      <c r="A33" t="s">
        <v>35</v>
      </c>
      <c r="B33" s="1">
        <v>681.53</v>
      </c>
      <c r="C33" s="1">
        <v>18.2294559747749</v>
      </c>
      <c r="D33" s="2">
        <f>IFERROR(VLOOKUP(A33,[4]Sheet1!A:B,2,FALSE),"缺失")</f>
        <v>3.50530573745</v>
      </c>
    </row>
    <row r="34" spans="1:4">
      <c r="A34" t="s">
        <v>36</v>
      </c>
      <c r="B34" s="1">
        <v>1148.65</v>
      </c>
      <c r="C34" s="1">
        <v>3.1448847949013</v>
      </c>
      <c r="D34" s="2">
        <f>IFERROR(VLOOKUP(A34,[4]Sheet1!A:B,2,FALSE),"缺失")</f>
        <v>0.831923821336</v>
      </c>
    </row>
    <row r="35" spans="1:4">
      <c r="A35" t="s">
        <v>37</v>
      </c>
      <c r="B35" s="1">
        <v>407.3</v>
      </c>
      <c r="C35" s="1">
        <v>0.486105956071787</v>
      </c>
      <c r="D35" s="2">
        <f>IFERROR(VLOOKUP(A35,[4]Sheet1!A:B,2,FALSE),"缺失")</f>
        <v>0.378434025777</v>
      </c>
    </row>
    <row r="36" spans="1:4">
      <c r="A36" t="s">
        <v>38</v>
      </c>
      <c r="B36" s="1" t="str">
        <f>IFERROR(VLOOKUP(A36,[1]Sheet1!B:C,2,FALSE),"缺失")</f>
        <v>7696.0</v>
      </c>
      <c r="C36" s="1">
        <v>363.37530338303</v>
      </c>
      <c r="D36" s="2">
        <f>IFERROR(VLOOKUP(A36,[4]Sheet1!A:B,2,FALSE),"缺失")</f>
        <v>19.970444116</v>
      </c>
    </row>
    <row r="37" spans="1:4">
      <c r="A37" t="s">
        <v>39</v>
      </c>
      <c r="B37" s="1" t="str">
        <f>IFERROR(VLOOKUP(A37,[1]Sheet1!B:C,2,FALSE),"缺失")</f>
        <v>8431.0</v>
      </c>
      <c r="C37" s="1">
        <v>302.146782807072</v>
      </c>
      <c r="D37" s="2">
        <f>IFERROR(VLOOKUP(A37,[4]Sheet1!A:B,2,FALSE),"缺失")</f>
        <v>18.3423657779</v>
      </c>
    </row>
    <row r="38" spans="1:4">
      <c r="A38" t="s">
        <v>40</v>
      </c>
      <c r="B38" s="1" t="str">
        <f>IFERROR(VLOOKUP(A38,[1]Sheet1!B:C,2,FALSE),"缺失")</f>
        <v>1863.0</v>
      </c>
      <c r="C38" s="1">
        <v>261.362983308684</v>
      </c>
      <c r="D38" s="2">
        <f>IFERROR(VLOOKUP(A38,[4]Sheet1!A:B,2,FALSE),"缺失")</f>
        <v>14.2150792795</v>
      </c>
    </row>
    <row r="39" spans="1:4">
      <c r="A39" t="s">
        <v>41</v>
      </c>
      <c r="B39" s="1" t="str">
        <f>IFERROR(VLOOKUP(A39,[1]Sheet1!B:C,2,FALSE),"缺失")</f>
        <v>928.0</v>
      </c>
      <c r="C39" s="1">
        <v>143.070017646724</v>
      </c>
      <c r="D39" s="2">
        <f>IFERROR(VLOOKUP(A39,[4]Sheet1!A:B,2,FALSE),"缺失")</f>
        <v>8.77256990679</v>
      </c>
    </row>
    <row r="40" spans="1:4">
      <c r="A40" t="s">
        <v>42</v>
      </c>
      <c r="B40" s="1" t="str">
        <f>IFERROR(VLOOKUP(A40,[1]Sheet1!B:C,2,FALSE),"缺失")</f>
        <v>931.0</v>
      </c>
      <c r="C40" s="1">
        <v>132.569384615385</v>
      </c>
      <c r="D40" s="2">
        <f>IFERROR(VLOOKUP(A40,[4]Sheet1!A:B,2,FALSE),"缺失")</f>
        <v>8.65370018975</v>
      </c>
    </row>
    <row r="41" spans="1:4">
      <c r="A41" t="s">
        <v>43</v>
      </c>
      <c r="B41" s="1" t="str">
        <f>IFERROR(VLOOKUP(A41,[1]Sheet1!B:C,2,FALSE),"缺失")</f>
        <v>891.0</v>
      </c>
      <c r="C41" s="1">
        <v>121.572590931082</v>
      </c>
      <c r="D41" s="2">
        <f>IFERROR(VLOOKUP(A41,[4]Sheet1!A:B,2,FALSE),"缺失")</f>
        <v>7.73978450905</v>
      </c>
    </row>
    <row r="42" spans="1:4">
      <c r="A42" t="s">
        <v>44</v>
      </c>
      <c r="B42" s="1" t="str">
        <f>IFERROR(VLOOKUP(A42,[1]Sheet1!B:C,2,FALSE),"缺失")</f>
        <v>1202.0</v>
      </c>
      <c r="C42" s="1">
        <v>212.214822560617</v>
      </c>
      <c r="D42" s="2">
        <f>IFERROR(VLOOKUP(A42,[4]Sheet1!A:B,2,FALSE),"缺失")</f>
        <v>13.3262397308</v>
      </c>
    </row>
    <row r="43" spans="1:4">
      <c r="A43" t="s">
        <v>45</v>
      </c>
      <c r="B43" s="1" t="str">
        <f>IFERROR(VLOOKUP(A43,[1]Sheet1!B:C,2,FALSE),"缺失")</f>
        <v>1432.0</v>
      </c>
      <c r="C43" s="1">
        <v>292.341753343239</v>
      </c>
      <c r="D43" s="2">
        <f>IFERROR(VLOOKUP(A43,[4]Sheet1!A:B,2,FALSE),"缺失")</f>
        <v>19.3040552828</v>
      </c>
    </row>
    <row r="44" spans="1:4">
      <c r="A44" t="s">
        <v>46</v>
      </c>
      <c r="B44" s="1" t="str">
        <f>IFERROR(VLOOKUP(A44,[1]Sheet1!B:C,2,FALSE),"缺失")</f>
        <v>578.0</v>
      </c>
      <c r="C44" s="1">
        <v>126.256949569496</v>
      </c>
      <c r="D44" s="2">
        <f>IFERROR(VLOOKUP(A44,[4]Sheet1!A:B,2,FALSE),"缺失")</f>
        <v>10.4903557236</v>
      </c>
    </row>
    <row r="45" spans="1:4">
      <c r="A45" t="s">
        <v>47</v>
      </c>
      <c r="B45" s="1" t="str">
        <f>IFERROR(VLOOKUP(A45,[1]Sheet1!B:C,2,FALSE),"缺失")</f>
        <v>892.0</v>
      </c>
      <c r="C45" s="1">
        <v>266.158147183774</v>
      </c>
      <c r="D45" s="2">
        <f>IFERROR(VLOOKUP(A45,[4]Sheet1!A:B,2,FALSE),"缺失")</f>
        <v>17.8962664404</v>
      </c>
    </row>
    <row r="46" spans="1:4">
      <c r="A46" t="s">
        <v>48</v>
      </c>
      <c r="B46" s="1" t="str">
        <f>IFERROR(VLOOKUP(A46,[1]Sheet1!B:C,2,FALSE),"缺失")</f>
        <v>1394.0</v>
      </c>
      <c r="C46" s="1">
        <v>212.498654225731</v>
      </c>
      <c r="D46" s="2">
        <f>IFERROR(VLOOKUP(A46,[4]Sheet1!A:B,2,FALSE),"缺失")</f>
        <v>22.240188383</v>
      </c>
    </row>
    <row r="47" spans="1:4">
      <c r="A47" t="s">
        <v>49</v>
      </c>
      <c r="B47" s="1" t="str">
        <f>IFERROR(VLOOKUP(A47,[1]Sheet1!B:C,2,FALSE),"缺失")</f>
        <v>754.0</v>
      </c>
      <c r="C47" s="1">
        <v>155.004988262911</v>
      </c>
      <c r="D47" s="2">
        <f>IFERROR(VLOOKUP(A47,[4]Sheet1!A:B,2,FALSE),"缺失")</f>
        <v>11.6892994611</v>
      </c>
    </row>
    <row r="48" spans="1:4">
      <c r="A48" t="s">
        <v>50</v>
      </c>
      <c r="B48" s="1" t="str">
        <f>IFERROR(VLOOKUP(A48,[1]Sheet1!B:C,2,FALSE),"缺失")</f>
        <v>995.0</v>
      </c>
      <c r="C48" s="1">
        <v>114.854856097481</v>
      </c>
      <c r="D48" s="2">
        <f>IFERROR(VLOOKUP(A48,[4]Sheet1!A:B,2,FALSE),"缺失")</f>
        <v>10.4546607804</v>
      </c>
    </row>
    <row r="49" spans="1:4">
      <c r="A49" t="s">
        <v>51</v>
      </c>
      <c r="B49" s="1" t="str">
        <f>IFERROR(VLOOKUP(A49,[1]Sheet1!B:C,2,FALSE),"缺失")</f>
        <v>871.0</v>
      </c>
      <c r="C49" s="1">
        <v>177.195585996956</v>
      </c>
      <c r="D49" s="2">
        <f>IFERROR(VLOOKUP(A49,[4]Sheet1!A:B,2,FALSE),"缺失")</f>
        <v>11.6967748037</v>
      </c>
    </row>
    <row r="50" spans="1:4">
      <c r="A50" t="s">
        <v>52</v>
      </c>
      <c r="B50" s="1" t="str">
        <f>IFERROR(VLOOKUP(A50,[1]Sheet1!B:C,2,FALSE),"缺失")</f>
        <v>6745.0</v>
      </c>
      <c r="C50" s="1">
        <v>205.295300339254</v>
      </c>
      <c r="D50" s="2">
        <f>IFERROR(VLOOKUP(A50,[4]Sheet1!A:B,2,FALSE),"缺失")</f>
        <v>17.1519330314</v>
      </c>
    </row>
    <row r="51" spans="1:4">
      <c r="A51" t="s">
        <v>53</v>
      </c>
      <c r="B51" s="1" t="str">
        <f>IFERROR(VLOOKUP(A51,[1]Sheet1!B:C,2,FALSE),"缺失")</f>
        <v>1518.0</v>
      </c>
      <c r="C51" s="1">
        <v>104.995725534308</v>
      </c>
      <c r="D51" s="2">
        <f>IFERROR(VLOOKUP(A51,[4]Sheet1!A:B,2,FALSE),"缺失")</f>
        <v>8.58246753247</v>
      </c>
    </row>
    <row r="52" spans="1:4">
      <c r="A52" t="s">
        <v>54</v>
      </c>
      <c r="B52" s="1" t="str">
        <f>IFERROR(VLOOKUP(A52,[1]Sheet1!B:C,2,FALSE),"缺失")</f>
        <v>582.0</v>
      </c>
      <c r="C52" s="1">
        <v>139.466889632107</v>
      </c>
      <c r="D52" s="2">
        <f>IFERROR(VLOOKUP(A52,[4]Sheet1!A:B,2,FALSE),"缺失")</f>
        <v>12.3771998436</v>
      </c>
    </row>
    <row r="53" spans="1:4">
      <c r="A53" t="s">
        <v>55</v>
      </c>
      <c r="B53" s="1" t="str">
        <f>IFERROR(VLOOKUP(A53,[1]Sheet1!B:C,2,FALSE),"缺失")</f>
        <v>501.0</v>
      </c>
      <c r="C53" s="1">
        <v>165.207078128827</v>
      </c>
      <c r="D53" s="2">
        <f>IFERROR(VLOOKUP(A53,[4]Sheet1!A:B,2,FALSE),"缺失")</f>
        <v>13.3407984421</v>
      </c>
    </row>
    <row r="54" spans="1:4">
      <c r="A54" t="s">
        <v>56</v>
      </c>
      <c r="B54" s="1" t="str">
        <f>IFERROR(VLOOKUP(A54,[1]Sheet1!B:C,2,FALSE),"缺失")</f>
        <v>591.0</v>
      </c>
      <c r="C54" s="1">
        <v>100.121783595827</v>
      </c>
      <c r="D54" s="2">
        <f>IFERROR(VLOOKUP(A54,[4]Sheet1!A:B,2,FALSE),"缺失")</f>
        <v>7.7901877572</v>
      </c>
    </row>
    <row r="55" spans="1:4">
      <c r="A55" t="s">
        <v>57</v>
      </c>
      <c r="B55" s="1" t="str">
        <f>IFERROR(VLOOKUP(A55,[1]Sheet1!B:C,2,FALSE),"缺失")</f>
        <v>542.0</v>
      </c>
      <c r="C55" s="1">
        <v>50.3318810866223</v>
      </c>
      <c r="D55" s="2">
        <f>IFERROR(VLOOKUP(A55,[4]Sheet1!A:B,2,FALSE),"缺失")</f>
        <v>4.35549813379</v>
      </c>
    </row>
    <row r="56" spans="1:4">
      <c r="A56" t="s">
        <v>58</v>
      </c>
      <c r="B56" s="1" t="str">
        <f>IFERROR(VLOOKUP(A56,[1]Sheet1!B:C,2,FALSE),"缺失")</f>
        <v>873.0</v>
      </c>
      <c r="C56" s="1">
        <v>77.560537727667</v>
      </c>
      <c r="D56" s="2">
        <f>IFERROR(VLOOKUP(A56,[4]Sheet1!A:B,2,FALSE),"缺失")</f>
        <v>10.0025974026</v>
      </c>
    </row>
    <row r="57" spans="1:4">
      <c r="A57" t="s">
        <v>59</v>
      </c>
      <c r="B57" s="1" t="str">
        <f>IFERROR(VLOOKUP(A57,[1]Sheet1!B:C,2,FALSE),"缺失")</f>
        <v>575.0</v>
      </c>
      <c r="C57" s="1">
        <v>49.7252263906856</v>
      </c>
      <c r="D57" s="2">
        <f>IFERROR(VLOOKUP(A57,[4]Sheet1!A:B,2,FALSE),"缺失")</f>
        <v>6.80651802362</v>
      </c>
    </row>
    <row r="58" spans="1:4">
      <c r="A58" t="s">
        <v>60</v>
      </c>
      <c r="B58" s="1">
        <v>838.87</v>
      </c>
      <c r="C58" s="1">
        <v>33.8931038977969</v>
      </c>
      <c r="D58" s="2">
        <f>IFERROR(VLOOKUP(A58,[4]Sheet1!A:B,2,FALSE),"缺失")</f>
        <v>3.25726169844</v>
      </c>
    </row>
    <row r="59" spans="1:4">
      <c r="A59" t="s">
        <v>61</v>
      </c>
      <c r="B59" s="1" t="str">
        <f>IFERROR(VLOOKUP(A59,[1]Sheet1!B:C,2,FALSE),"缺失")</f>
        <v>5490.0</v>
      </c>
      <c r="C59" s="1">
        <v>113.788097987276</v>
      </c>
      <c r="D59" s="2">
        <f>IFERROR(VLOOKUP(A59,[4]Sheet1!A:B,2,FALSE),"缺失")</f>
        <v>9.05524154043</v>
      </c>
    </row>
    <row r="60" spans="1:4">
      <c r="A60" t="s">
        <v>62</v>
      </c>
      <c r="B60" s="1" t="str">
        <f>IFERROR(VLOOKUP(A60,[1]Sheet1!B:C,2,FALSE),"缺失")</f>
        <v>1318.0</v>
      </c>
      <c r="C60" s="1">
        <v>83.2837136005481</v>
      </c>
      <c r="D60" s="2">
        <f>IFERROR(VLOOKUP(A60,[4]Sheet1!A:B,2,FALSE),"缺失")</f>
        <v>9.43961112688</v>
      </c>
    </row>
    <row r="61" spans="1:4">
      <c r="A61" t="s">
        <v>63</v>
      </c>
      <c r="B61" s="1" t="str">
        <f>IFERROR(VLOOKUP(A61,[1]Sheet1!B:C,2,FALSE),"缺失")</f>
        <v>665.0</v>
      </c>
      <c r="C61" s="1">
        <v>55.8156427575855</v>
      </c>
      <c r="D61" s="2">
        <f>IFERROR(VLOOKUP(A61,[4]Sheet1!A:B,2,FALSE),"缺失")</f>
        <v>5.54155186206</v>
      </c>
    </row>
    <row r="62" spans="1:4">
      <c r="A62" t="s">
        <v>64</v>
      </c>
      <c r="B62" s="1" t="str">
        <f>IFERROR(VLOOKUP(A62,[1]Sheet1!B:C,2,FALSE),"缺失")</f>
        <v>409.0</v>
      </c>
      <c r="C62" s="1">
        <v>47.2278012060064</v>
      </c>
      <c r="D62" s="2">
        <f>IFERROR(VLOOKUP(A62,[4]Sheet1!A:B,2,FALSE),"缺失")</f>
        <v>5.89447577631</v>
      </c>
    </row>
    <row r="63" spans="1:4">
      <c r="A63" t="s">
        <v>65</v>
      </c>
      <c r="B63" s="1" t="str">
        <f>IFERROR(VLOOKUP(A63,[1]Sheet1!B:C,2,FALSE),"缺失")</f>
        <v>557.0</v>
      </c>
      <c r="C63" s="1">
        <v>43.2899295793504</v>
      </c>
      <c r="D63" s="2">
        <f>IFERROR(VLOOKUP(A63,[4]Sheet1!A:B,2,FALSE),"缺失")</f>
        <v>5.85441683769</v>
      </c>
    </row>
    <row r="64" spans="1:4">
      <c r="A64" t="s">
        <v>66</v>
      </c>
      <c r="B64" s="1" t="str">
        <f>IFERROR(VLOOKUP(A64,[1]Sheet1!B:C,2,FALSE),"缺失")</f>
        <v>2989.0</v>
      </c>
      <c r="C64" s="1">
        <v>75.1096089792034</v>
      </c>
      <c r="D64" s="2">
        <f>IFERROR(VLOOKUP(A64,[4]Sheet1!A:B,2,FALSE),"缺失")</f>
        <v>12.7855053317</v>
      </c>
    </row>
    <row r="65" spans="1:4">
      <c r="A65" t="s">
        <v>67</v>
      </c>
      <c r="B65" s="1" t="str">
        <f>IFERROR(VLOOKUP(A65,[1]Sheet1!B:C,2,FALSE),"缺失")</f>
        <v>343.0</v>
      </c>
      <c r="C65" s="1">
        <v>26.8045476962097</v>
      </c>
      <c r="D65" s="2">
        <f>IFERROR(VLOOKUP(A65,[4]Sheet1!A:B,2,FALSE),"缺失")</f>
        <v>2.40921549519</v>
      </c>
    </row>
    <row r="66" spans="1:4">
      <c r="A66" t="s">
        <v>68</v>
      </c>
      <c r="B66" s="1" t="str">
        <f>IFERROR(VLOOKUP(A66,[1]Sheet1!B:C,2,FALSE),"缺失")</f>
        <v>869.0</v>
      </c>
      <c r="C66" s="1">
        <v>45.128663535211</v>
      </c>
      <c r="D66" s="2">
        <f>IFERROR(VLOOKUP(A66,[4]Sheet1!A:B,2,FALSE),"缺失")</f>
        <v>7.99232045217</v>
      </c>
    </row>
    <row r="67" spans="1:4">
      <c r="A67" t="s">
        <v>69</v>
      </c>
      <c r="B67" s="1" t="str">
        <f>IFERROR(VLOOKUP(A67,[1]Sheet1!B:C,2,FALSE),"缺失")</f>
        <v>269.0</v>
      </c>
      <c r="C67" s="1">
        <v>87.1731308637199</v>
      </c>
      <c r="D67" s="2">
        <f>IFERROR(VLOOKUP(A67,[4]Sheet1!A:B,2,FALSE),"缺失")</f>
        <v>9.07718978102</v>
      </c>
    </row>
    <row r="68" spans="1:4">
      <c r="A68" t="s">
        <v>70</v>
      </c>
      <c r="B68" s="1" t="str">
        <f>IFERROR(VLOOKUP(A68,[1]Sheet1!B:C,2,FALSE),"缺失")</f>
        <v>926.0</v>
      </c>
      <c r="C68" s="1">
        <v>45.2372496093195</v>
      </c>
      <c r="D68" s="2">
        <f>IFERROR(VLOOKUP(A68,[4]Sheet1!A:B,2,FALSE),"缺失")</f>
        <v>4.05711342861</v>
      </c>
    </row>
    <row r="69" spans="1:4">
      <c r="A69" t="s">
        <v>71</v>
      </c>
      <c r="B69" s="1" t="str">
        <f>IFERROR(VLOOKUP(A69,[1]Sheet1!B:C,2,FALSE),"缺失")</f>
        <v>660.0</v>
      </c>
      <c r="C69" s="1">
        <v>14.6864177398205</v>
      </c>
      <c r="D69" s="2">
        <f>IFERROR(VLOOKUP(A69,[4]Sheet1!A:B,2,FALSE),"缺失")</f>
        <v>4.01455018543</v>
      </c>
    </row>
    <row r="70" spans="1:4">
      <c r="A70" t="s">
        <v>72</v>
      </c>
      <c r="B70" s="1" t="str">
        <f>IFERROR(VLOOKUP(A70,[1]Sheet1!B:C,2,FALSE),"缺失")</f>
        <v>1238.0</v>
      </c>
      <c r="C70" s="1">
        <v>95.1791663856478</v>
      </c>
      <c r="D70" s="2">
        <f>IFERROR(VLOOKUP(A70,[4]Sheet1!A:B,2,FALSE),"缺失")</f>
        <v>10.1358711231</v>
      </c>
    </row>
    <row r="71" spans="1:4">
      <c r="A71" t="s">
        <v>73</v>
      </c>
      <c r="B71" s="1">
        <v>168</v>
      </c>
      <c r="C71" s="1">
        <v>3.14734183403267</v>
      </c>
      <c r="D71" s="2">
        <f>IFERROR(VLOOKUP(A71,[4]Sheet1!A:B,2,FALSE),"缺失")</f>
        <v>0.65600520219</v>
      </c>
    </row>
    <row r="72" spans="1:4">
      <c r="A72" t="s">
        <v>74</v>
      </c>
      <c r="B72" s="1" t="str">
        <f>IFERROR(VLOOKUP(A72,[1]Sheet1!B:C,2,FALSE),"缺失")</f>
        <v>16908.0</v>
      </c>
      <c r="C72" s="1">
        <v>633.600684855849</v>
      </c>
      <c r="D72" s="2">
        <f>IFERROR(VLOOKUP(A72,[4]Sheet1!A:B,2,FALSE),"缺失")</f>
        <v>37.4964323668</v>
      </c>
    </row>
    <row r="73" spans="1:4">
      <c r="A73" t="s">
        <v>75</v>
      </c>
      <c r="B73" s="1" t="str">
        <f>IFERROR(VLOOKUP(A73,[1]Sheet1!B:C,2,FALSE),"缺失")</f>
        <v>14851.0</v>
      </c>
      <c r="C73" s="1">
        <v>768.404837683004</v>
      </c>
      <c r="D73" s="2">
        <f>IFERROR(VLOOKUP(A73,[4]Sheet1!A:B,2,FALSE),"缺失")</f>
        <v>44.8916151056</v>
      </c>
    </row>
    <row r="74" spans="1:4">
      <c r="A74" t="s">
        <v>76</v>
      </c>
      <c r="B74" s="1" t="str">
        <f>IFERROR(VLOOKUP(A74,[1]Sheet1!B:C,2,FALSE),"缺失")</f>
        <v>8458.0</v>
      </c>
      <c r="C74" s="1">
        <v>576.153526186425</v>
      </c>
      <c r="D74" s="2">
        <f>IFERROR(VLOOKUP(A74,[4]Sheet1!A:B,2,FALSE),"缺失")</f>
        <v>24.021629869</v>
      </c>
    </row>
    <row r="75" spans="1:4">
      <c r="A75" t="s">
        <v>77</v>
      </c>
      <c r="B75" s="1" t="str">
        <f>IFERROR(VLOOKUP(A75,[1]Sheet1!B:C,2,FALSE),"缺失")</f>
        <v>9550.0</v>
      </c>
      <c r="C75" s="1">
        <v>613.93567251462</v>
      </c>
      <c r="D75" s="2">
        <f>IFERROR(VLOOKUP(A75,[4]Sheet1!A:B,2,FALSE),"缺失")</f>
        <v>38.7130075705</v>
      </c>
    </row>
    <row r="76" spans="1:4">
      <c r="A76" t="s">
        <v>78</v>
      </c>
      <c r="B76" s="1" t="str">
        <f>IFERROR(VLOOKUP(A76,[1]Sheet1!B:C,2,FALSE),"缺失")</f>
        <v>23958.0</v>
      </c>
      <c r="C76" s="1">
        <v>542.800535359641</v>
      </c>
      <c r="D76" s="2">
        <f>IFERROR(VLOOKUP(A76,[4]Sheet1!A:B,2,FALSE),"缺失")</f>
        <v>46.5237874754</v>
      </c>
    </row>
    <row r="77" spans="1:4">
      <c r="A77" t="s">
        <v>79</v>
      </c>
      <c r="B77" s="1" t="str">
        <f>IFERROR(VLOOKUP(A77,[1]Sheet1!B:C,2,FALSE),"缺失")</f>
        <v>11380.0</v>
      </c>
      <c r="C77" s="1">
        <v>700.414765759137</v>
      </c>
      <c r="D77" s="2">
        <f>IFERROR(VLOOKUP(A77,[4]Sheet1!A:B,2,FALSE),"缺失")</f>
        <v>30.4164973588</v>
      </c>
    </row>
    <row r="78" spans="1:4">
      <c r="A78" t="s">
        <v>80</v>
      </c>
      <c r="B78" s="1" t="str">
        <f>IFERROR(VLOOKUP(A78,[1]Sheet1!B:C,2,FALSE),"缺失")</f>
        <v>4005.0</v>
      </c>
      <c r="C78" s="1">
        <v>435.89741387537</v>
      </c>
      <c r="D78" s="2">
        <f>IFERROR(VLOOKUP(A78,[4]Sheet1!A:B,2,FALSE),"缺失")</f>
        <v>24.2877887789</v>
      </c>
    </row>
    <row r="79" spans="1:4">
      <c r="A79" t="s">
        <v>81</v>
      </c>
      <c r="B79" s="1" t="str">
        <f>IFERROR(VLOOKUP(A79,[1]Sheet1!B:C,2,FALSE),"缺失")</f>
        <v>4742.0</v>
      </c>
      <c r="C79" s="1">
        <v>379.696239633972</v>
      </c>
      <c r="D79" s="2">
        <f>IFERROR(VLOOKUP(A79,[4]Sheet1!A:B,2,FALSE),"缺失")</f>
        <v>18.35965349</v>
      </c>
    </row>
    <row r="80" spans="1:4">
      <c r="A80" t="s">
        <v>82</v>
      </c>
      <c r="B80" s="1" t="str">
        <f>IFERROR(VLOOKUP(A80,[1]Sheet1!B:C,2,FALSE),"缺失")</f>
        <v>7080.0</v>
      </c>
      <c r="C80" s="1">
        <v>422.034843205575</v>
      </c>
      <c r="D80" s="2">
        <f>IFERROR(VLOOKUP(A80,[4]Sheet1!A:B,2,FALSE),"缺失")</f>
        <v>20.3619053565</v>
      </c>
    </row>
    <row r="81" spans="1:4">
      <c r="A81" t="s">
        <v>83</v>
      </c>
      <c r="B81" s="1" t="str">
        <f>IFERROR(VLOOKUP(A81,[1]Sheet1!B:C,2,FALSE),"缺失")</f>
        <v>7105.0</v>
      </c>
      <c r="C81" s="1">
        <v>492.140888208269</v>
      </c>
      <c r="D81" s="2">
        <f>IFERROR(VLOOKUP(A81,[4]Sheet1!A:B,2,FALSE),"缺失")</f>
        <v>26.3192395437</v>
      </c>
    </row>
    <row r="82" spans="1:4">
      <c r="A82" t="s">
        <v>84</v>
      </c>
      <c r="B82" s="1" t="str">
        <f>IFERROR(VLOOKUP(A82,[1]Sheet1!B:C,2,FALSE),"缺失")</f>
        <v>5017.0</v>
      </c>
      <c r="C82" s="1">
        <v>464.795945433877</v>
      </c>
      <c r="D82" s="2">
        <f>IFERROR(VLOOKUP(A82,[4]Sheet1!A:B,2,FALSE),"缺失")</f>
        <v>34.6218049035</v>
      </c>
    </row>
    <row r="83" spans="1:4">
      <c r="A83" t="s">
        <v>85</v>
      </c>
      <c r="B83" s="1" t="str">
        <f>IFERROR(VLOOKUP(A83,[1]Sheet1!B:C,2,FALSE),"缺失")</f>
        <v>6402.0</v>
      </c>
      <c r="C83" s="1">
        <v>724.732254828192</v>
      </c>
      <c r="D83" s="2">
        <f>IFERROR(VLOOKUP(A83,[4]Sheet1!A:B,2,FALSE),"缺失")</f>
        <v>32.0734229576</v>
      </c>
    </row>
    <row r="84" spans="1:4">
      <c r="A84" t="s">
        <v>86</v>
      </c>
      <c r="B84" s="1" t="str">
        <f>IFERROR(VLOOKUP(A84,[1]Sheet1!B:C,2,FALSE),"缺失")</f>
        <v>4112.0</v>
      </c>
      <c r="C84" s="1">
        <v>426.784806953034</v>
      </c>
      <c r="D84" s="2">
        <f>IFERROR(VLOOKUP(A84,[4]Sheet1!A:B,2,FALSE),"缺失")</f>
        <v>20.2050169968</v>
      </c>
    </row>
    <row r="85" spans="1:4">
      <c r="A85" t="s">
        <v>87</v>
      </c>
      <c r="B85" s="1" t="str">
        <f>IFERROR(VLOOKUP(A85,[1]Sheet1!B:C,2,FALSE),"缺失")</f>
        <v>18753.0</v>
      </c>
      <c r="C85" s="1">
        <v>289.533124580631</v>
      </c>
      <c r="D85" s="2">
        <f>IFERROR(VLOOKUP(A85,[4]Sheet1!A:B,2,FALSE),"缺失")</f>
        <v>19.9850622407</v>
      </c>
    </row>
    <row r="86" spans="1:4">
      <c r="A86" t="s">
        <v>88</v>
      </c>
      <c r="B86" s="1" t="str">
        <f>IFERROR(VLOOKUP(A86,[1]Sheet1!B:C,2,FALSE),"缺失")</f>
        <v>15704.0</v>
      </c>
      <c r="C86" s="1">
        <v>488.474108769191</v>
      </c>
      <c r="D86" s="2">
        <f>IFERROR(VLOOKUP(A86,[4]Sheet1!A:B,2,FALSE),"缺失")</f>
        <v>33.4504869347</v>
      </c>
    </row>
    <row r="87" spans="1:4">
      <c r="A87" t="s">
        <v>89</v>
      </c>
      <c r="B87" s="1" t="str">
        <f>IFERROR(VLOOKUP(A87,[1]Sheet1!B:C,2,FALSE),"缺失")</f>
        <v>8030.0</v>
      </c>
      <c r="C87" s="1">
        <v>471.682012847966</v>
      </c>
      <c r="D87" s="2">
        <f>IFERROR(VLOOKUP(A87,[4]Sheet1!A:B,2,FALSE),"缺失")</f>
        <v>25.1626260983</v>
      </c>
    </row>
    <row r="88" spans="1:4">
      <c r="A88" t="s">
        <v>90</v>
      </c>
      <c r="B88" s="1" t="str">
        <f>IFERROR(VLOOKUP(A88,[1]Sheet1!B:C,2,FALSE),"缺失")</f>
        <v>6739.0</v>
      </c>
      <c r="C88" s="1">
        <v>653.813736468832</v>
      </c>
      <c r="D88" s="2">
        <f>IFERROR(VLOOKUP(A88,[4]Sheet1!A:B,2,FALSE),"缺失")</f>
        <v>45.6172248804</v>
      </c>
    </row>
    <row r="89" spans="1:4">
      <c r="A89" t="s">
        <v>91</v>
      </c>
      <c r="B89" s="1" t="str">
        <f>IFERROR(VLOOKUP(A89,[1]Sheet1!B:C,2,FALSE),"缺失")</f>
        <v>3850.0</v>
      </c>
      <c r="C89" s="1">
        <v>348.353649265079</v>
      </c>
      <c r="D89" s="2">
        <f>IFERROR(VLOOKUP(A89,[4]Sheet1!A:B,2,FALSE),"缺失")</f>
        <v>30.2539082632</v>
      </c>
    </row>
    <row r="90" spans="1:4">
      <c r="A90" t="s">
        <v>92</v>
      </c>
      <c r="B90" s="1" t="str">
        <f>IFERROR(VLOOKUP(A90,[1]Sheet1!B:C,2,FALSE),"缺失")</f>
        <v>7351.0</v>
      </c>
      <c r="C90" s="1">
        <v>421.898150755656</v>
      </c>
      <c r="D90" s="2">
        <f>IFERROR(VLOOKUP(A90,[4]Sheet1!A:B,2,FALSE),"缺失")</f>
        <v>26.2838327695</v>
      </c>
    </row>
    <row r="91" spans="1:4">
      <c r="A91" t="s">
        <v>93</v>
      </c>
      <c r="B91" s="1" t="str">
        <f>IFERROR(VLOOKUP(A91,[1]Sheet1!B:C,2,FALSE),"缺失")</f>
        <v>5562.0</v>
      </c>
      <c r="C91" s="1">
        <v>310.522867314802</v>
      </c>
      <c r="D91" s="2">
        <f>IFERROR(VLOOKUP(A91,[4]Sheet1!A:B,2,FALSE),"缺失")</f>
        <v>24.0535239666</v>
      </c>
    </row>
    <row r="92" spans="1:4">
      <c r="A92" t="s">
        <v>94</v>
      </c>
      <c r="B92" s="1" t="str">
        <f>IFERROR(VLOOKUP(A92,[1]Sheet1!B:C,2,FALSE),"缺失")</f>
        <v>2003.0</v>
      </c>
      <c r="C92" s="1">
        <v>220.050870488323</v>
      </c>
      <c r="D92" s="2">
        <f>IFERROR(VLOOKUP(A92,[4]Sheet1!A:B,2,FALSE),"缺失")</f>
        <v>13.3366101695</v>
      </c>
    </row>
    <row r="93" spans="1:4">
      <c r="A93" t="s">
        <v>95</v>
      </c>
      <c r="B93" s="1" t="str">
        <f>IFERROR(VLOOKUP(A93,[1]Sheet1!B:C,2,FALSE),"缺失")</f>
        <v>1951.0</v>
      </c>
      <c r="C93" s="1">
        <v>689.094919786096</v>
      </c>
      <c r="D93" s="2">
        <f>IFERROR(VLOOKUP(A93,[4]Sheet1!A:B,2,FALSE),"缺失")</f>
        <v>38.137254902</v>
      </c>
    </row>
    <row r="94" spans="1:4">
      <c r="A94" t="s">
        <v>96</v>
      </c>
      <c r="B94" s="1" t="str">
        <f>IFERROR(VLOOKUP(A94,[1]Sheet1!B:C,2,FALSE),"缺失")</f>
        <v>6041.0</v>
      </c>
      <c r="C94" s="1">
        <v>437.419531880549</v>
      </c>
      <c r="D94" s="2">
        <f>IFERROR(VLOOKUP(A94,[4]Sheet1!A:B,2,FALSE),"缺失")</f>
        <v>23.4206670522</v>
      </c>
    </row>
    <row r="95" spans="1:4">
      <c r="A95" t="s">
        <v>97</v>
      </c>
      <c r="B95" s="1" t="str">
        <f>IFERROR(VLOOKUP(A95,[1]Sheet1!B:C,2,FALSE),"缺失")</f>
        <v>1831.0</v>
      </c>
      <c r="C95" s="1">
        <v>114.650876424189</v>
      </c>
      <c r="D95" s="2">
        <f>IFERROR(VLOOKUP(A95,[4]Sheet1!A:B,2,FALSE),"缺失")</f>
        <v>7.76288181765</v>
      </c>
    </row>
    <row r="96" spans="1:4">
      <c r="A96" t="s">
        <v>98</v>
      </c>
      <c r="B96" s="1" t="str">
        <f>IFERROR(VLOOKUP(A96,[1]Sheet1!B:C,2,FALSE),"缺失")</f>
        <v>12013.0</v>
      </c>
      <c r="C96" s="1">
        <v>401.104032617698</v>
      </c>
      <c r="D96" s="2">
        <f>IFERROR(VLOOKUP(A96,[4]Sheet1!A:B,2,FALSE),"缺失")</f>
        <v>23.4737392213</v>
      </c>
    </row>
    <row r="97" spans="1:4">
      <c r="A97" t="s">
        <v>99</v>
      </c>
      <c r="B97" s="1" t="str">
        <f>IFERROR(VLOOKUP(A97,[1]Sheet1!B:C,2,FALSE),"缺失")</f>
        <v>4502.0</v>
      </c>
      <c r="C97" s="1">
        <v>460.478876678877</v>
      </c>
      <c r="D97" s="2">
        <f>IFERROR(VLOOKUP(A97,[4]Sheet1!A:B,2,FALSE),"缺失")</f>
        <v>22.8780568957</v>
      </c>
    </row>
    <row r="98" spans="1:4">
      <c r="A98" t="s">
        <v>100</v>
      </c>
      <c r="B98" s="1" t="str">
        <f>IFERROR(VLOOKUP(A98,[1]Sheet1!B:C,2,FALSE),"缺失")</f>
        <v>2012.0</v>
      </c>
      <c r="C98" s="1">
        <v>402.213966412951</v>
      </c>
      <c r="D98" s="2">
        <f>IFERROR(VLOOKUP(A98,[4]Sheet1!A:B,2,FALSE),"缺失")</f>
        <v>18.0350083752</v>
      </c>
    </row>
    <row r="99" spans="1:4">
      <c r="A99" t="s">
        <v>101</v>
      </c>
      <c r="B99" s="1" t="str">
        <f>IFERROR(VLOOKUP(A99,[1]Sheet1!B:C,2,FALSE),"缺失")</f>
        <v>1541.0</v>
      </c>
      <c r="C99" s="1">
        <v>458.717129387114</v>
      </c>
      <c r="D99" s="2">
        <f>IFERROR(VLOOKUP(A99,[4]Sheet1!A:B,2,FALSE),"缺失")</f>
        <v>18.6964382571</v>
      </c>
    </row>
    <row r="100" spans="1:4">
      <c r="A100" t="s">
        <v>102</v>
      </c>
      <c r="B100" s="1" t="str">
        <f>IFERROR(VLOOKUP(A100,[1]Sheet1!B:C,2,FALSE),"缺失")</f>
        <v>2521.0</v>
      </c>
      <c r="C100" s="1">
        <v>389.049065420561</v>
      </c>
      <c r="D100" s="2">
        <f>IFERROR(VLOOKUP(A100,[4]Sheet1!A:B,2,FALSE),"缺失")</f>
        <v>22.918972332</v>
      </c>
    </row>
    <row r="101" spans="1:4">
      <c r="A101" t="s">
        <v>103</v>
      </c>
      <c r="B101" s="1" t="str">
        <f>IFERROR(VLOOKUP(A101,[1]Sheet1!B:C,2,FALSE),"缺失")</f>
        <v>1303.0</v>
      </c>
      <c r="C101" s="1">
        <v>492.621164846594</v>
      </c>
      <c r="D101" s="2">
        <f>IFERROR(VLOOKUP(A101,[4]Sheet1!A:B,2,FALSE),"缺失")</f>
        <v>24.8807706289</v>
      </c>
    </row>
    <row r="102" spans="1:4">
      <c r="A102" t="s">
        <v>104</v>
      </c>
      <c r="B102" s="1" t="str">
        <f>IFERROR(VLOOKUP(A102,[1]Sheet1!B:C,2,FALSE),"缺失")</f>
        <v>1210.0</v>
      </c>
      <c r="C102" s="1">
        <v>420.584543440807</v>
      </c>
      <c r="D102" s="2">
        <f>IFERROR(VLOOKUP(A102,[4]Sheet1!A:B,2,FALSE),"缺失")</f>
        <v>16.4639140651</v>
      </c>
    </row>
    <row r="103" spans="1:4">
      <c r="A103" t="s">
        <v>105</v>
      </c>
      <c r="B103" s="1" t="str">
        <f>IFERROR(VLOOKUP(A103,[1]Sheet1!B:C,2,FALSE),"缺失")</f>
        <v>2767.0</v>
      </c>
      <c r="C103" s="1">
        <v>283.92180845255</v>
      </c>
      <c r="D103" s="2">
        <f>IFERROR(VLOOKUP(A103,[4]Sheet1!A:B,2,FALSE),"缺失")</f>
        <v>10.6666172657</v>
      </c>
    </row>
    <row r="104" spans="1:4">
      <c r="A104" t="s">
        <v>106</v>
      </c>
      <c r="B104" s="1" t="str">
        <f>IFERROR(VLOOKUP(A104,[1]Sheet1!B:C,2,FALSE),"缺失")</f>
        <v>1002.0</v>
      </c>
      <c r="C104" s="1">
        <v>120.630714943234</v>
      </c>
      <c r="D104" s="2">
        <f>IFERROR(VLOOKUP(A104,[4]Sheet1!A:B,2,FALSE),"缺失")</f>
        <v>4.5215730801</v>
      </c>
    </row>
    <row r="105" spans="1:4">
      <c r="A105" t="s">
        <v>107</v>
      </c>
      <c r="B105" s="1" t="str">
        <f>IFERROR(VLOOKUP(A105,[1]Sheet1!B:C,2,FALSE),"缺失")</f>
        <v>3610.0</v>
      </c>
      <c r="C105" s="1">
        <v>229.722311568564</v>
      </c>
      <c r="D105" s="2">
        <f>IFERROR(VLOOKUP(A105,[4]Sheet1!A:B,2,FALSE),"缺失")</f>
        <v>16.4108555794</v>
      </c>
    </row>
    <row r="106" spans="1:4">
      <c r="A106" t="s">
        <v>108</v>
      </c>
      <c r="B106" s="1" t="str">
        <f>IFERROR(VLOOKUP(A106,[1]Sheet1!B:C,2,FALSE),"缺失")</f>
        <v>3233.0</v>
      </c>
      <c r="C106" s="1">
        <v>602.169425303687</v>
      </c>
      <c r="D106" s="2">
        <f>IFERROR(VLOOKUP(A106,[4]Sheet1!A:B,2,FALSE),"缺失")</f>
        <v>21.3900365721</v>
      </c>
    </row>
    <row r="107" spans="1:4">
      <c r="A107" t="s">
        <v>109</v>
      </c>
      <c r="B107" s="1" t="str">
        <f>IFERROR(VLOOKUP(A107,[1]Sheet1!B:C,2,FALSE),"缺失")</f>
        <v>2225.0</v>
      </c>
      <c r="C107" s="1">
        <v>392.068341205095</v>
      </c>
      <c r="D107" s="2">
        <f>IFERROR(VLOOKUP(A107,[4]Sheet1!A:B,2,FALSE),"缺失")</f>
        <v>18.1706653226</v>
      </c>
    </row>
    <row r="108" spans="1:4">
      <c r="A108" t="s">
        <v>110</v>
      </c>
      <c r="B108" s="1" t="str">
        <f>IFERROR(VLOOKUP(A108,[1]Sheet1!B:C,2,FALSE),"缺失")</f>
        <v>2005.0</v>
      </c>
      <c r="C108" s="1">
        <v>257.161323778993</v>
      </c>
      <c r="D108" s="2">
        <f>IFERROR(VLOOKUP(A108,[4]Sheet1!A:B,2,FALSE),"缺失")</f>
        <v>11.1403588315</v>
      </c>
    </row>
    <row r="109" spans="1:4">
      <c r="A109" t="s">
        <v>111</v>
      </c>
      <c r="B109" s="1" t="str">
        <f>IFERROR(VLOOKUP(A109,[1]Sheet1!B:C,2,FALSE),"缺失")</f>
        <v>2102.0</v>
      </c>
      <c r="C109" s="1">
        <v>427.406648757555</v>
      </c>
      <c r="D109" s="2">
        <f>IFERROR(VLOOKUP(A109,[4]Sheet1!A:B,2,FALSE),"缺失")</f>
        <v>16.9454012888</v>
      </c>
    </row>
    <row r="110" spans="1:4">
      <c r="A110" t="s">
        <v>112</v>
      </c>
      <c r="B110" s="1" t="str">
        <f>IFERROR(VLOOKUP(A110,[1]Sheet1!B:C,2,FALSE),"缺失")</f>
        <v>1079.0</v>
      </c>
      <c r="C110" s="1">
        <v>143.318447117085</v>
      </c>
      <c r="D110" s="2">
        <f>IFERROR(VLOOKUP(A110,[4]Sheet1!A:B,2,FALSE),"缺失")</f>
        <v>8.40531521869</v>
      </c>
    </row>
    <row r="111" spans="1:4">
      <c r="A111" t="s">
        <v>113</v>
      </c>
      <c r="B111" s="1" t="str">
        <f>IFERROR(VLOOKUP(A111,[1]Sheet1!B:C,2,FALSE),"缺失")</f>
        <v>1914.0</v>
      </c>
      <c r="C111" s="1">
        <v>176.608890750269</v>
      </c>
      <c r="D111" s="2">
        <f>IFERROR(VLOOKUP(A111,[4]Sheet1!A:B,2,FALSE),"缺失")</f>
        <v>10.6790875142</v>
      </c>
    </row>
    <row r="112" spans="1:4">
      <c r="A112" t="s">
        <v>114</v>
      </c>
      <c r="B112" s="1" t="str">
        <f>IFERROR(VLOOKUP(A112,[1]Sheet1!B:C,2,FALSE),"缺失")</f>
        <v>12308.0</v>
      </c>
      <c r="C112" s="1">
        <v>401.269097810615</v>
      </c>
      <c r="D112" s="2">
        <f>IFERROR(VLOOKUP(A112,[4]Sheet1!A:B,2,FALSE),"缺失")</f>
        <v>22.75279341</v>
      </c>
    </row>
    <row r="113" spans="1:4">
      <c r="A113" t="s">
        <v>115</v>
      </c>
      <c r="B113" s="1" t="str">
        <f>IFERROR(VLOOKUP(A113,[1]Sheet1!B:C,2,FALSE),"缺失")</f>
        <v>7803.0</v>
      </c>
      <c r="C113" s="1">
        <v>636.290272774061</v>
      </c>
      <c r="D113" s="2">
        <f>IFERROR(VLOOKUP(A113,[4]Sheet1!A:B,2,FALSE),"缺失")</f>
        <v>47.6449971735</v>
      </c>
    </row>
    <row r="114" spans="1:4">
      <c r="A114" t="s">
        <v>116</v>
      </c>
      <c r="B114" s="1" t="str">
        <f>IFERROR(VLOOKUP(A114,[1]Sheet1!B:C,2,FALSE),"缺失")</f>
        <v>3116.0</v>
      </c>
      <c r="C114" s="1">
        <v>601.114056720099</v>
      </c>
      <c r="D114" s="2">
        <f>IFERROR(VLOOKUP(A114,[4]Sheet1!A:B,2,FALSE),"缺失")</f>
        <v>25.0833333333</v>
      </c>
    </row>
    <row r="115" spans="1:4">
      <c r="A115" t="s">
        <v>117</v>
      </c>
      <c r="B115" s="1" t="str">
        <f>IFERROR(VLOOKUP(A115,[1]Sheet1!B:C,2,FALSE),"缺失")</f>
        <v>3110.0</v>
      </c>
      <c r="C115" s="1">
        <v>95.753461306936</v>
      </c>
      <c r="D115" s="2">
        <f>IFERROR(VLOOKUP(A115,[4]Sheet1!A:B,2,FALSE),"缺失")</f>
        <v>6.43122903324</v>
      </c>
    </row>
    <row r="116" spans="1:4">
      <c r="A116" t="s">
        <v>118</v>
      </c>
      <c r="B116" s="1" t="str">
        <f>IFERROR(VLOOKUP(A116,[1]Sheet1!B:C,2,FALSE),"缺失")</f>
        <v>12103.0</v>
      </c>
      <c r="C116" s="1">
        <v>452.132137602466</v>
      </c>
      <c r="D116" s="2">
        <f>IFERROR(VLOOKUP(A116,[4]Sheet1!A:B,2,FALSE),"缺失")</f>
        <v>25.0103526935</v>
      </c>
    </row>
    <row r="117" spans="1:4">
      <c r="A117" t="s">
        <v>119</v>
      </c>
      <c r="B117" s="1" t="str">
        <f>IFERROR(VLOOKUP(A117,[1]Sheet1!B:C,2,FALSE),"缺失")</f>
        <v>5707.0</v>
      </c>
      <c r="C117" s="1">
        <v>286.430149123354</v>
      </c>
      <c r="D117" s="2">
        <f>IFERROR(VLOOKUP(A117,[4]Sheet1!A:B,2,FALSE),"缺失")</f>
        <v>21.1719566978</v>
      </c>
    </row>
    <row r="118" spans="1:4">
      <c r="A118" t="s">
        <v>120</v>
      </c>
      <c r="B118" s="1" t="str">
        <f>IFERROR(VLOOKUP(A118,[1]Sheet1!B:C,2,FALSE),"缺失")</f>
        <v>2212.0</v>
      </c>
      <c r="C118" s="1">
        <v>94.7307870236512</v>
      </c>
      <c r="D118" s="2">
        <f>IFERROR(VLOOKUP(A118,[4]Sheet1!A:B,2,FALSE),"缺失")</f>
        <v>6.58895565528</v>
      </c>
    </row>
    <row r="119" spans="1:4">
      <c r="A119" t="s">
        <v>121</v>
      </c>
      <c r="B119" s="1" t="str">
        <f>IFERROR(VLOOKUP(A119,[1]Sheet1!B:C,2,FALSE),"缺失")</f>
        <v>3314.0</v>
      </c>
      <c r="C119" s="1">
        <v>121.477870716258</v>
      </c>
      <c r="D119" s="2">
        <f>IFERROR(VLOOKUP(A119,[4]Sheet1!A:B,2,FALSE),"缺失")</f>
        <v>8.32487522984</v>
      </c>
    </row>
    <row r="120" spans="1:4">
      <c r="A120" t="s">
        <v>122</v>
      </c>
      <c r="B120" s="1" t="str">
        <f>IFERROR(VLOOKUP(A120,[1]Sheet1!B:C,2,FALSE),"缺失")</f>
        <v>3555.0</v>
      </c>
      <c r="C120" s="1">
        <v>186.455855430225</v>
      </c>
      <c r="D120" s="2">
        <f>IFERROR(VLOOKUP(A120,[4]Sheet1!A:B,2,FALSE),"缺失")</f>
        <v>13.9169683091</v>
      </c>
    </row>
    <row r="121" spans="1:4">
      <c r="A121" t="s">
        <v>123</v>
      </c>
      <c r="B121" s="1" t="str">
        <f>IFERROR(VLOOKUP(A121,[1]Sheet1!B:C,2,FALSE),"缺失")</f>
        <v>7204.0</v>
      </c>
      <c r="C121" s="1">
        <v>441.214472172914</v>
      </c>
      <c r="D121" s="2">
        <f>IFERROR(VLOOKUP(A121,[4]Sheet1!A:B,2,FALSE),"缺失")</f>
        <v>20.3790849673</v>
      </c>
    </row>
    <row r="122" spans="1:4">
      <c r="A122" t="s">
        <v>124</v>
      </c>
      <c r="B122" s="1" t="str">
        <f>IFERROR(VLOOKUP(A122,[1]Sheet1!B:C,2,FALSE),"缺失")</f>
        <v>1192.0</v>
      </c>
      <c r="C122" s="1">
        <v>221.094602272727</v>
      </c>
      <c r="D122" s="2">
        <f>IFERROR(VLOOKUP(A122,[4]Sheet1!A:B,2,FALSE),"缺失")</f>
        <v>10.2088184768</v>
      </c>
    </row>
    <row r="123" spans="1:4">
      <c r="A123" t="s">
        <v>125</v>
      </c>
      <c r="B123" s="1" t="str">
        <f>IFERROR(VLOOKUP(A123,[1]Sheet1!B:C,2,FALSE),"缺失")</f>
        <v>1160.0</v>
      </c>
      <c r="C123" s="1">
        <v>348.482847511402</v>
      </c>
      <c r="D123" s="2">
        <f>IFERROR(VLOOKUP(A123,[4]Sheet1!A:B,2,FALSE),"缺失")</f>
        <v>10.1224115334</v>
      </c>
    </row>
    <row r="124" spans="1:4">
      <c r="A124" t="s">
        <v>126</v>
      </c>
      <c r="B124" s="1" t="str">
        <f>IFERROR(VLOOKUP(A124,[1]Sheet1!B:C,2,FALSE),"缺失")</f>
        <v>4027.0</v>
      </c>
      <c r="C124" s="1">
        <v>178.099140625</v>
      </c>
      <c r="D124" s="2">
        <f>IFERROR(VLOOKUP(A124,[4]Sheet1!A:B,2,FALSE),"缺失")</f>
        <v>8.78888365027</v>
      </c>
    </row>
    <row r="125" spans="1:4">
      <c r="A125" t="s">
        <v>127</v>
      </c>
      <c r="B125" s="1" t="str">
        <f>IFERROR(VLOOKUP(A125,[1]Sheet1!B:C,2,FALSE),"缺失")</f>
        <v>1252.0</v>
      </c>
      <c r="C125" s="1">
        <v>254.572831816004</v>
      </c>
      <c r="D125" s="2">
        <f>IFERROR(VLOOKUP(A125,[4]Sheet1!A:B,2,FALSE),"缺失")</f>
        <v>11.4753632344</v>
      </c>
    </row>
    <row r="126" spans="1:4">
      <c r="A126" t="s">
        <v>128</v>
      </c>
      <c r="B126" s="1" t="str">
        <f>IFERROR(VLOOKUP(A126,[1]Sheet1!B:C,2,FALSE),"缺失")</f>
        <v>1238.0</v>
      </c>
      <c r="C126" s="1">
        <v>226.246327443049</v>
      </c>
      <c r="D126" s="2">
        <f>IFERROR(VLOOKUP(A126,[4]Sheet1!A:B,2,FALSE),"缺失")</f>
        <v>10.7475975127</v>
      </c>
    </row>
    <row r="127" spans="1:4">
      <c r="A127" t="s">
        <v>129</v>
      </c>
      <c r="B127" s="1" t="str">
        <f>IFERROR(VLOOKUP(A127,[1]Sheet1!B:C,2,FALSE),"缺失")</f>
        <v>4524.0</v>
      </c>
      <c r="C127" s="1">
        <v>154.708669591789</v>
      </c>
      <c r="D127" s="2">
        <f>IFERROR(VLOOKUP(A127,[4]Sheet1!A:B,2,FALSE),"缺失")</f>
        <v>6.37244742457</v>
      </c>
    </row>
    <row r="128" spans="1:4">
      <c r="A128" t="s">
        <v>130</v>
      </c>
      <c r="B128" s="1" t="str">
        <f>IFERROR(VLOOKUP(A128,[1]Sheet1!B:C,2,FALSE),"缺失")</f>
        <v>2750.0</v>
      </c>
      <c r="C128" s="1">
        <v>140.580836152731</v>
      </c>
      <c r="D128" s="2">
        <f>IFERROR(VLOOKUP(A128,[4]Sheet1!A:B,2,FALSE),"缺失")</f>
        <v>5.19686659282</v>
      </c>
    </row>
    <row r="129" spans="1:4">
      <c r="A129" t="s">
        <v>131</v>
      </c>
      <c r="B129" s="1" t="str">
        <f>IFERROR(VLOOKUP(A129,[1]Sheet1!B:C,2,FALSE),"缺失")</f>
        <v>3473.0</v>
      </c>
      <c r="C129" s="1">
        <v>209.491380354475</v>
      </c>
      <c r="D129" s="2">
        <f>IFERROR(VLOOKUP(A129,[4]Sheet1!A:B,2,FALSE),"缺失")</f>
        <v>9.29936783457</v>
      </c>
    </row>
    <row r="130" spans="1:4">
      <c r="A130" t="s">
        <v>132</v>
      </c>
      <c r="B130" s="1" t="str">
        <f>IFERROR(VLOOKUP(A130,[1]Sheet1!B:C,2,FALSE),"缺失")</f>
        <v>1946.0</v>
      </c>
      <c r="C130" s="1">
        <v>150.008825910931</v>
      </c>
      <c r="D130" s="2">
        <f>IFERROR(VLOOKUP(A130,[4]Sheet1!A:B,2,FALSE),"缺失")</f>
        <v>5.89552397679</v>
      </c>
    </row>
    <row r="131" spans="1:4">
      <c r="A131" t="s">
        <v>133</v>
      </c>
      <c r="B131" s="1" t="str">
        <f>IFERROR(VLOOKUP(A131,[1]Sheet1!B:C,2,FALSE),"缺失")</f>
        <v>3310.0</v>
      </c>
      <c r="C131" s="1">
        <v>212.692399324973</v>
      </c>
      <c r="D131" s="2">
        <f>IFERROR(VLOOKUP(A131,[4]Sheet1!A:B,2,FALSE),"缺失")</f>
        <v>7.9010457861</v>
      </c>
    </row>
    <row r="132" spans="1:4">
      <c r="A132" t="s">
        <v>134</v>
      </c>
      <c r="B132" s="1" t="str">
        <f>IFERROR(VLOOKUP(A132,[1]Sheet1!B:C,2,FALSE),"缺失")</f>
        <v>12027.0</v>
      </c>
      <c r="C132" s="1">
        <v>486.404460315321</v>
      </c>
      <c r="D132" s="2">
        <f>IFERROR(VLOOKUP(A132,[4]Sheet1!A:B,2,FALSE),"缺失")</f>
        <v>25.707166634</v>
      </c>
    </row>
    <row r="133" spans="1:4">
      <c r="A133" t="s">
        <v>135</v>
      </c>
      <c r="B133" s="1" t="str">
        <f>IFERROR(VLOOKUP(A133,[1]Sheet1!B:C,2,FALSE),"缺失")</f>
        <v>14921.0</v>
      </c>
      <c r="C133" s="1">
        <v>462.349977877505</v>
      </c>
      <c r="D133" s="2">
        <f>IFERROR(VLOOKUP(A133,[4]Sheet1!A:B,2,FALSE),"缺失")</f>
        <v>27.7285574616</v>
      </c>
    </row>
    <row r="134" spans="1:4">
      <c r="A134" t="s">
        <v>136</v>
      </c>
      <c r="B134" s="1" t="str">
        <f>IFERROR(VLOOKUP(A134,[1]Sheet1!B:C,2,FALSE),"缺失")</f>
        <v>4403.0</v>
      </c>
      <c r="C134" s="1">
        <v>486.091087735522</v>
      </c>
      <c r="D134" s="2">
        <f>IFERROR(VLOOKUP(A134,[4]Sheet1!A:B,2,FALSE),"缺失")</f>
        <v>25.0720026792</v>
      </c>
    </row>
    <row r="135" spans="1:4">
      <c r="A135" t="s">
        <v>137</v>
      </c>
      <c r="B135" s="1" t="str">
        <f>IFERROR(VLOOKUP(A135,[1]Sheet1!B:C,2,FALSE),"缺失")</f>
        <v>2039.0</v>
      </c>
      <c r="C135" s="1">
        <v>554.447934395791</v>
      </c>
      <c r="D135" s="2">
        <f>IFERROR(VLOOKUP(A135,[4]Sheet1!A:B,2,FALSE),"缺失")</f>
        <v>23.8956692913</v>
      </c>
    </row>
    <row r="136" spans="1:4">
      <c r="A136" t="s">
        <v>138</v>
      </c>
      <c r="B136" s="1" t="str">
        <f>IFERROR(VLOOKUP(A136,[1]Sheet1!B:C,2,FALSE),"缺失")</f>
        <v>3621.0</v>
      </c>
      <c r="C136" s="1">
        <v>172.002880737469</v>
      </c>
      <c r="D136" s="2">
        <f>IFERROR(VLOOKUP(A136,[4]Sheet1!A:B,2,FALSE),"缺失")</f>
        <v>22.5149396058</v>
      </c>
    </row>
    <row r="137" spans="1:4">
      <c r="A137" t="s">
        <v>139</v>
      </c>
      <c r="B137" s="1" t="str">
        <f>IFERROR(VLOOKUP(A137,[1]Sheet1!B:C,2,FALSE),"缺失")</f>
        <v>9516.0</v>
      </c>
      <c r="C137" s="1">
        <v>349.808412155363</v>
      </c>
      <c r="D137" s="2">
        <f>IFERROR(VLOOKUP(A137,[4]Sheet1!A:B,2,FALSE),"缺失")</f>
        <v>19.3872106155</v>
      </c>
    </row>
    <row r="138" spans="1:4">
      <c r="A138" t="s">
        <v>140</v>
      </c>
      <c r="B138" s="1" t="str">
        <f>IFERROR(VLOOKUP(A138,[1]Sheet1!B:C,2,FALSE),"缺失")</f>
        <v>7306.0</v>
      </c>
      <c r="C138" s="1">
        <v>391.841963392896</v>
      </c>
      <c r="D138" s="2">
        <f>IFERROR(VLOOKUP(A138,[4]Sheet1!A:B,2,FALSE),"缺失")</f>
        <v>22.3198577578</v>
      </c>
    </row>
    <row r="139" spans="1:4">
      <c r="A139" t="s">
        <v>141</v>
      </c>
      <c r="B139" s="1" t="str">
        <f>IFERROR(VLOOKUP(A139,[1]Sheet1!B:C,2,FALSE),"缺失")</f>
        <v>5317.0</v>
      </c>
      <c r="C139" s="1">
        <v>506.391874842291</v>
      </c>
      <c r="D139" s="2">
        <f>IFERROR(VLOOKUP(A139,[4]Sheet1!A:B,2,FALSE),"缺失")</f>
        <v>21.9911615034</v>
      </c>
    </row>
    <row r="140" spans="1:4">
      <c r="A140" t="s">
        <v>142</v>
      </c>
      <c r="B140" s="1" t="str">
        <f>IFERROR(VLOOKUP(A140,[1]Sheet1!B:C,2,FALSE),"缺失")</f>
        <v>3198.0</v>
      </c>
      <c r="C140" s="1">
        <v>519.629742304939</v>
      </c>
      <c r="D140" s="2">
        <f>IFERROR(VLOOKUP(A140,[4]Sheet1!A:B,2,FALSE),"缺失")</f>
        <v>19.1106949109</v>
      </c>
    </row>
    <row r="141" spans="1:4">
      <c r="A141" t="s">
        <v>143</v>
      </c>
      <c r="B141" s="1" t="str">
        <f>IFERROR(VLOOKUP(A141,[1]Sheet1!B:C,2,FALSE),"缺失")</f>
        <v>3408.0</v>
      </c>
      <c r="C141" s="1">
        <v>324.419455156114</v>
      </c>
      <c r="D141" s="2">
        <f>IFERROR(VLOOKUP(A141,[4]Sheet1!A:B,2,FALSE),"缺失")</f>
        <v>22.7798319328</v>
      </c>
    </row>
    <row r="142" spans="1:4">
      <c r="A142" t="s">
        <v>144</v>
      </c>
      <c r="B142" s="1" t="str">
        <f>IFERROR(VLOOKUP(A142,[1]Sheet1!B:C,2,FALSE),"缺失")</f>
        <v>2307.0</v>
      </c>
      <c r="C142" s="1">
        <v>380.338463562221</v>
      </c>
      <c r="D142" s="2">
        <f>IFERROR(VLOOKUP(A142,[4]Sheet1!A:B,2,FALSE),"缺失")</f>
        <v>20.6003325942</v>
      </c>
    </row>
    <row r="143" spans="1:4">
      <c r="A143" t="s">
        <v>145</v>
      </c>
      <c r="B143" s="1" t="str">
        <f>IFERROR(VLOOKUP(A143,[1]Sheet1!B:C,2,FALSE),"缺失")</f>
        <v>5779.0</v>
      </c>
      <c r="C143" s="1">
        <v>423.050388230486</v>
      </c>
      <c r="D143" s="2">
        <f>IFERROR(VLOOKUP(A143,[4]Sheet1!A:B,2,FALSE),"缺失")</f>
        <v>21.1542488222</v>
      </c>
    </row>
    <row r="144" spans="1:4">
      <c r="A144" t="s">
        <v>146</v>
      </c>
      <c r="B144" s="1" t="str">
        <f>IFERROR(VLOOKUP(A144,[1]Sheet1!B:C,2,FALSE),"缺失")</f>
        <v>3633.0</v>
      </c>
      <c r="C144" s="1">
        <v>375.209365659249</v>
      </c>
      <c r="D144" s="2">
        <f>IFERROR(VLOOKUP(A144,[4]Sheet1!A:B,2,FALSE),"缺失")</f>
        <v>18.8915976103</v>
      </c>
    </row>
    <row r="145" spans="1:4">
      <c r="A145" t="s">
        <v>147</v>
      </c>
      <c r="B145" s="1" t="str">
        <f>IFERROR(VLOOKUP(A145,[1]Sheet1!B:C,2,FALSE),"缺失")</f>
        <v>2780.0</v>
      </c>
      <c r="C145" s="1">
        <v>466.544412377746</v>
      </c>
      <c r="D145" s="2">
        <f>IFERROR(VLOOKUP(A145,[4]Sheet1!A:B,2,FALSE),"缺失")</f>
        <v>20.8001620933</v>
      </c>
    </row>
    <row r="146" spans="1:4">
      <c r="A146" t="s">
        <v>148</v>
      </c>
      <c r="B146" s="1" t="str">
        <f>IFERROR(VLOOKUP(A146,[1]Sheet1!B:C,2,FALSE),"缺失")</f>
        <v>2975.0</v>
      </c>
      <c r="C146" s="1">
        <v>295.022013768061</v>
      </c>
      <c r="D146" s="2">
        <f>IFERROR(VLOOKUP(A146,[4]Sheet1!A:B,2,FALSE),"缺失")</f>
        <v>21.7015563349</v>
      </c>
    </row>
    <row r="147" spans="1:4">
      <c r="A147" t="s">
        <v>149</v>
      </c>
      <c r="B147" s="1" t="str">
        <f>IFERROR(VLOOKUP(A147,[1]Sheet1!B:C,2,FALSE),"缺失")</f>
        <v>4205.0</v>
      </c>
      <c r="C147" s="1">
        <v>507.895254060928</v>
      </c>
      <c r="D147" s="2">
        <f>IFERROR(VLOOKUP(A147,[4]Sheet1!A:B,2,FALSE),"缺失")</f>
        <v>20.5591769547</v>
      </c>
    </row>
    <row r="148" spans="1:4">
      <c r="A148" t="s">
        <v>150</v>
      </c>
      <c r="B148" s="1" t="str">
        <f>IFERROR(VLOOKUP(A148,[1]Sheet1!B:C,2,FALSE),"缺失")</f>
        <v>12935.0</v>
      </c>
      <c r="C148" s="1">
        <v>574.008683473389</v>
      </c>
      <c r="D148" s="2">
        <f>IFERROR(VLOOKUP(A148,[4]Sheet1!A:B,2,FALSE),"缺失")</f>
        <v>31.6855813953</v>
      </c>
    </row>
    <row r="149" spans="1:4">
      <c r="A149" t="s">
        <v>151</v>
      </c>
      <c r="B149" s="1" t="str">
        <f>IFERROR(VLOOKUP(A149,[1]Sheet1!B:C,2,FALSE),"缺失")</f>
        <v>2657.0</v>
      </c>
      <c r="C149" s="1">
        <v>526.896048012683</v>
      </c>
      <c r="D149" s="2">
        <f>IFERROR(VLOOKUP(A149,[4]Sheet1!A:B,2,FALSE),"缺失")</f>
        <v>20.0371914075</v>
      </c>
    </row>
    <row r="150" spans="1:4">
      <c r="A150" t="s">
        <v>152</v>
      </c>
      <c r="B150" s="1" t="str">
        <f>IFERROR(VLOOKUP(A150,[1]Sheet1!B:C,2,FALSE),"缺失")</f>
        <v>5675.0</v>
      </c>
      <c r="C150" s="1">
        <v>299.992919034753</v>
      </c>
      <c r="D150" s="2">
        <f>IFERROR(VLOOKUP(A150,[4]Sheet1!A:B,2,FALSE),"缺失")</f>
        <v>12.9199894723</v>
      </c>
    </row>
    <row r="151" spans="1:4">
      <c r="A151" t="s">
        <v>153</v>
      </c>
      <c r="B151" s="1" t="str">
        <f>IFERROR(VLOOKUP(A151,[1]Sheet1!B:C,2,FALSE),"缺失")</f>
        <v>2839.0</v>
      </c>
      <c r="C151" s="1">
        <v>438.664743531957</v>
      </c>
      <c r="D151" s="2">
        <f>IFERROR(VLOOKUP(A151,[4]Sheet1!A:B,2,FALSE),"缺失")</f>
        <v>17.0287087391</v>
      </c>
    </row>
    <row r="152" spans="1:4">
      <c r="A152" t="s">
        <v>154</v>
      </c>
      <c r="B152" s="1" t="str">
        <f>IFERROR(VLOOKUP(A152,[1]Sheet1!B:C,2,FALSE),"缺失")</f>
        <v>2512.0</v>
      </c>
      <c r="C152" s="1">
        <v>500.773373791011</v>
      </c>
      <c r="D152" s="2">
        <f>IFERROR(VLOOKUP(A152,[4]Sheet1!A:B,2,FALSE),"缺失")</f>
        <v>19.5726158038</v>
      </c>
    </row>
    <row r="153" spans="1:4">
      <c r="A153" t="s">
        <v>155</v>
      </c>
      <c r="B153" s="1" t="str">
        <f>IFERROR(VLOOKUP(A153,[1]Sheet1!B:C,2,FALSE),"缺失")</f>
        <v>1107.0</v>
      </c>
      <c r="C153" s="1">
        <v>448.687296416938</v>
      </c>
      <c r="D153" s="2">
        <f>IFERROR(VLOOKUP(A153,[4]Sheet1!A:B,2,FALSE),"缺失")</f>
        <v>22.5797101449</v>
      </c>
    </row>
    <row r="154" spans="1:4">
      <c r="A154" t="s">
        <v>156</v>
      </c>
      <c r="B154" s="1" t="str">
        <f>IFERROR(VLOOKUP(A154,[1]Sheet1!B:C,2,FALSE),"缺失")</f>
        <v>3464.0</v>
      </c>
      <c r="C154" s="1">
        <v>458.057203210815</v>
      </c>
      <c r="D154" s="2">
        <f>IFERROR(VLOOKUP(A154,[4]Sheet1!A:B,2,FALSE),"缺失")</f>
        <v>21.8809379911</v>
      </c>
    </row>
    <row r="155" spans="1:4">
      <c r="A155" t="s">
        <v>157</v>
      </c>
      <c r="B155" s="1" t="str">
        <f>IFERROR(VLOOKUP(A155,[1]Sheet1!B:C,2,FALSE),"缺失")</f>
        <v>2235.0</v>
      </c>
      <c r="C155" s="1">
        <v>547.156686097863</v>
      </c>
      <c r="D155" s="2">
        <f>IFERROR(VLOOKUP(A155,[4]Sheet1!A:B,2,FALSE),"缺失")</f>
        <v>23.652335063</v>
      </c>
    </row>
    <row r="156" spans="1:4">
      <c r="A156" t="s">
        <v>158</v>
      </c>
      <c r="B156" s="1" t="str">
        <f>IFERROR(VLOOKUP(A156,[1]Sheet1!B:C,2,FALSE),"缺失")</f>
        <v>1890.0</v>
      </c>
      <c r="C156" s="1">
        <v>563.544018430146</v>
      </c>
      <c r="D156" s="2">
        <f>IFERROR(VLOOKUP(A156,[4]Sheet1!A:B,2,FALSE),"缺失")</f>
        <v>23.4685150376</v>
      </c>
    </row>
    <row r="157" spans="1:4">
      <c r="A157" t="s">
        <v>159</v>
      </c>
      <c r="B157" s="1" t="str">
        <f>IFERROR(VLOOKUP(A157,[1]Sheet1!B:C,2,FALSE),"缺失")</f>
        <v>3747.0</v>
      </c>
      <c r="C157" s="1">
        <v>646.248075278015</v>
      </c>
      <c r="D157" s="2">
        <f>IFERROR(VLOOKUP(A157,[4]Sheet1!A:B,2,FALSE),"缺失")</f>
        <v>21.6304914744</v>
      </c>
    </row>
    <row r="158" spans="1:4">
      <c r="A158" t="s">
        <v>160</v>
      </c>
      <c r="B158" s="1" t="str">
        <f>IFERROR(VLOOKUP(A158,[1]Sheet1!B:C,2,FALSE),"缺失")</f>
        <v>1813.0</v>
      </c>
      <c r="C158" s="1">
        <v>633.744019138756</v>
      </c>
      <c r="D158" s="2">
        <f>IFERROR(VLOOKUP(A158,[4]Sheet1!A:B,2,FALSE),"缺失")</f>
        <v>21.1555885629</v>
      </c>
    </row>
    <row r="159" spans="1:4">
      <c r="A159" t="s">
        <v>161</v>
      </c>
      <c r="B159" s="1" t="str">
        <f>IFERROR(VLOOKUP(A159,[1]Sheet1!B:C,2,FALSE),"缺失")</f>
        <v>1676.0</v>
      </c>
      <c r="C159" s="1">
        <v>155.150765942287</v>
      </c>
      <c r="D159" s="2">
        <f>IFERROR(VLOOKUP(A159,[4]Sheet1!A:B,2,FALSE),"缺失")</f>
        <v>7.89106117102</v>
      </c>
    </row>
    <row r="160" spans="1:4">
      <c r="A160" t="s">
        <v>162</v>
      </c>
      <c r="B160" s="1" t="str">
        <f>IFERROR(VLOOKUP(A160,[1]Sheet1!B:C,2,FALSE),"缺失")</f>
        <v>4555.0</v>
      </c>
      <c r="C160" s="1">
        <v>294.356323086524</v>
      </c>
      <c r="D160" s="2">
        <f>IFERROR(VLOOKUP(A160,[4]Sheet1!A:B,2,FALSE),"缺失")</f>
        <v>10.4564438916</v>
      </c>
    </row>
    <row r="161" spans="1:4">
      <c r="A161" t="s">
        <v>163</v>
      </c>
      <c r="B161" s="1" t="str">
        <f>IFERROR(VLOOKUP(A161,[1]Sheet1!B:C,2,FALSE),"缺失")</f>
        <v>3263.0</v>
      </c>
      <c r="C161" s="1">
        <v>522.56554827609</v>
      </c>
      <c r="D161" s="2">
        <f>IFERROR(VLOOKUP(A161,[4]Sheet1!A:B,2,FALSE),"缺失")</f>
        <v>18.9519842756</v>
      </c>
    </row>
    <row r="162" spans="1:4">
      <c r="A162" t="s">
        <v>164</v>
      </c>
      <c r="B162" s="1" t="str">
        <f>IFERROR(VLOOKUP(A162,[1]Sheet1!B:C,2,FALSE),"缺失")</f>
        <v>3196.0</v>
      </c>
      <c r="C162" s="1">
        <v>299.397130658872</v>
      </c>
      <c r="D162" s="2">
        <f>IFERROR(VLOOKUP(A162,[4]Sheet1!A:B,2,FALSE),"缺失")</f>
        <v>10.0015326075</v>
      </c>
    </row>
    <row r="163" spans="1:4">
      <c r="A163" t="s">
        <v>165</v>
      </c>
      <c r="B163" s="1" t="str">
        <f>IFERROR(VLOOKUP(A163,[1]Sheet1!B:C,2,FALSE),"缺失")</f>
        <v>3617.0</v>
      </c>
      <c r="C163" s="1">
        <v>613.045017612992</v>
      </c>
      <c r="D163" s="2">
        <f>IFERROR(VLOOKUP(A163,[4]Sheet1!A:B,2,FALSE),"缺失")</f>
        <v>18.913994656</v>
      </c>
    </row>
    <row r="164" spans="1:4">
      <c r="A164" t="s">
        <v>166</v>
      </c>
      <c r="B164" s="1" t="str">
        <f>IFERROR(VLOOKUP(A164,[1]Sheet1!B:C,2,FALSE),"缺失")</f>
        <v>3257.0</v>
      </c>
      <c r="C164" s="1">
        <v>397.538266526356</v>
      </c>
      <c r="D164" s="2">
        <f>IFERROR(VLOOKUP(A164,[4]Sheet1!A:B,2,FALSE),"缺失")</f>
        <v>15.0100185775</v>
      </c>
    </row>
    <row r="165" spans="1:4">
      <c r="A165" t="s">
        <v>167</v>
      </c>
      <c r="B165" s="1" t="str">
        <f>IFERROR(VLOOKUP(A165,[1]Sheet1!B:C,2,FALSE),"缺失")</f>
        <v>18866.0</v>
      </c>
      <c r="C165" s="1">
        <v>671.146309994839</v>
      </c>
      <c r="D165" s="2">
        <f>IFERROR(VLOOKUP(A165,[4]Sheet1!A:B,2,FALSE),"缺失")</f>
        <v>30.354032917</v>
      </c>
    </row>
    <row r="166" spans="1:4">
      <c r="A166" t="s">
        <v>168</v>
      </c>
      <c r="B166" s="1" t="str">
        <f>IFERROR(VLOOKUP(A166,[1]Sheet1!B:C,2,FALSE),"缺失")</f>
        <v>2042.0</v>
      </c>
      <c r="C166" s="1">
        <v>383.860586319218</v>
      </c>
      <c r="D166" s="2">
        <f>IFERROR(VLOOKUP(A166,[4]Sheet1!A:B,2,FALSE),"缺失")</f>
        <v>16.7398249453</v>
      </c>
    </row>
    <row r="167" spans="1:4">
      <c r="A167" t="s">
        <v>169</v>
      </c>
      <c r="B167" s="1" t="str">
        <f>IFERROR(VLOOKUP(A167,[1]Sheet1!B:C,2,FALSE),"缺失")</f>
        <v>2305.0</v>
      </c>
      <c r="C167" s="1">
        <v>112.698026154974</v>
      </c>
      <c r="D167" s="2">
        <f>IFERROR(VLOOKUP(A167,[4]Sheet1!A:B,2,FALSE),"缺失")</f>
        <v>3.84988403964</v>
      </c>
    </row>
    <row r="168" spans="1:4">
      <c r="A168" t="s">
        <v>170</v>
      </c>
      <c r="B168" s="1" t="str">
        <f>IFERROR(VLOOKUP(A168,[1]Sheet1!B:C,2,FALSE),"缺失")</f>
        <v>5503.0</v>
      </c>
      <c r="C168" s="1">
        <v>151.420417810838</v>
      </c>
      <c r="D168" s="2">
        <f>IFERROR(VLOOKUP(A168,[4]Sheet1!A:B,2,FALSE),"缺失")</f>
        <v>7.68912429379</v>
      </c>
    </row>
    <row r="169" spans="1:4">
      <c r="A169" t="s">
        <v>171</v>
      </c>
      <c r="B169" s="1" t="str">
        <f>IFERROR(VLOOKUP(A169,[1]Sheet1!B:C,2,FALSE),"缺失")</f>
        <v>5828.0</v>
      </c>
      <c r="C169" s="1">
        <v>212.236836283186</v>
      </c>
      <c r="D169" s="2">
        <f>IFERROR(VLOOKUP(A169,[4]Sheet1!A:B,2,FALSE),"缺失")</f>
        <v>8.17181868941</v>
      </c>
    </row>
    <row r="170" spans="1:4">
      <c r="A170" t="s">
        <v>172</v>
      </c>
      <c r="B170" s="1" t="str">
        <f>IFERROR(VLOOKUP(A170,[1]Sheet1!B:C,2,FALSE),"缺失")</f>
        <v>1265.0</v>
      </c>
      <c r="C170" s="1">
        <v>451.985527544351</v>
      </c>
      <c r="D170" s="2">
        <f>IFERROR(VLOOKUP(A170,[4]Sheet1!A:B,2,FALSE),"缺失")</f>
        <v>27.9284818068</v>
      </c>
    </row>
    <row r="171" spans="1:4">
      <c r="A171" t="s">
        <v>173</v>
      </c>
      <c r="B171" s="1" t="str">
        <f>IFERROR(VLOOKUP(A171,[1]Sheet1!B:C,2,FALSE),"缺失")</f>
        <v>2201.0</v>
      </c>
      <c r="C171" s="1">
        <v>181.540339386722</v>
      </c>
      <c r="D171" s="2">
        <f>IFERROR(VLOOKUP(A171,[4]Sheet1!A:B,2,FALSE),"缺失")</f>
        <v>7.97075028358</v>
      </c>
    </row>
    <row r="172" spans="1:4">
      <c r="A172" t="s">
        <v>174</v>
      </c>
      <c r="B172" s="1" t="str">
        <f>IFERROR(VLOOKUP(A172,[1]Sheet1!B:C,2,FALSE),"缺失")</f>
        <v>2777.0</v>
      </c>
      <c r="C172" s="1">
        <v>410.453585279313</v>
      </c>
      <c r="D172" s="2">
        <f>IFERROR(VLOOKUP(A172,[4]Sheet1!A:B,2,FALSE),"缺失")</f>
        <v>13.689190706</v>
      </c>
    </row>
    <row r="173" spans="1:4">
      <c r="A173" t="s">
        <v>175</v>
      </c>
      <c r="B173" s="1" t="str">
        <f>IFERROR(VLOOKUP(A173,[1]Sheet1!B:C,2,FALSE),"缺失")</f>
        <v>3009.0</v>
      </c>
      <c r="C173" s="1">
        <v>347.199167500922</v>
      </c>
      <c r="D173" s="2">
        <f>IFERROR(VLOOKUP(A173,[4]Sheet1!A:B,2,FALSE),"缺失")</f>
        <v>11.8485880517</v>
      </c>
    </row>
    <row r="174" spans="1:4">
      <c r="A174" t="s">
        <v>176</v>
      </c>
      <c r="B174" s="1" t="str">
        <f>IFERROR(VLOOKUP(A174,[1]Sheet1!B:C,2,FALSE),"缺失")</f>
        <v>2748.0</v>
      </c>
      <c r="C174" s="1">
        <v>306.029401796306</v>
      </c>
      <c r="D174" s="2">
        <f>IFERROR(VLOOKUP(A174,[4]Sheet1!A:B,2,FALSE),"缺失")</f>
        <v>9.90272998394</v>
      </c>
    </row>
    <row r="175" spans="1:4">
      <c r="A175" t="s">
        <v>177</v>
      </c>
      <c r="B175" s="1" t="str">
        <f>IFERROR(VLOOKUP(A175,[1]Sheet1!B:C,2,FALSE),"缺失")</f>
        <v>1876.0</v>
      </c>
      <c r="C175" s="1">
        <v>209.479241807996</v>
      </c>
      <c r="D175" s="2">
        <f>IFERROR(VLOOKUP(A175,[4]Sheet1!A:B,2,FALSE),"缺失")</f>
        <v>9.26395730706</v>
      </c>
    </row>
    <row r="176" spans="1:4">
      <c r="A176" t="s">
        <v>178</v>
      </c>
      <c r="B176" s="1" t="str">
        <f>IFERROR(VLOOKUP(A176,[1]Sheet1!B:C,2,FALSE),"缺失")</f>
        <v>1329.0</v>
      </c>
      <c r="C176" s="1">
        <v>190.78532402489</v>
      </c>
      <c r="D176" s="2">
        <f>IFERROR(VLOOKUP(A176,[4]Sheet1!A:B,2,FALSE),"缺失")</f>
        <v>6.44775964237</v>
      </c>
    </row>
    <row r="177" spans="1:4">
      <c r="A177" t="s">
        <v>179</v>
      </c>
      <c r="B177" s="1">
        <v>1402.2</v>
      </c>
      <c r="C177" s="1">
        <v>121.754895942047</v>
      </c>
      <c r="D177" s="2">
        <f>IFERROR(VLOOKUP(A177,[4]Sheet1!A:B,2,FALSE),"缺失")</f>
        <v>4.29774511025</v>
      </c>
    </row>
    <row r="178" spans="1:4">
      <c r="A178" t="s">
        <v>180</v>
      </c>
      <c r="B178" s="1" t="str">
        <f>IFERROR(VLOOKUP(A178,[2]Sheet1!B:C,2,FALSE),"缺失")</f>
        <v>13966.0</v>
      </c>
      <c r="C178" s="1">
        <v>405.863307046227</v>
      </c>
      <c r="D178" s="2">
        <f>IFERROR(VLOOKUP(A178,[4]Sheet1!A:B,2,FALSE),"缺失")</f>
        <v>17.9911280101</v>
      </c>
    </row>
    <row r="179" spans="1:4">
      <c r="A179" t="s">
        <v>181</v>
      </c>
      <c r="B179" s="1" t="str">
        <f>IFERROR(VLOOKUP(A179,[2]Sheet1!B:C,2,FALSE),"缺失")</f>
        <v>3617.0</v>
      </c>
      <c r="C179" s="1">
        <v>257.745899417107</v>
      </c>
      <c r="D179" s="2">
        <f>IFERROR(VLOOKUP(A179,[4]Sheet1!A:B,2,FALSE),"缺失")</f>
        <v>7.7095601277</v>
      </c>
    </row>
    <row r="180" spans="1:4">
      <c r="A180" t="s">
        <v>182</v>
      </c>
      <c r="B180" s="1" t="str">
        <f>IFERROR(VLOOKUP(A180,[2]Sheet1!B:C,2,FALSE),"缺失")</f>
        <v>2698.0</v>
      </c>
      <c r="C180" s="1">
        <v>428.167247915087</v>
      </c>
      <c r="D180" s="2">
        <f>IFERROR(VLOOKUP(A180,[4]Sheet1!A:B,2,FALSE),"缺失")</f>
        <v>14.0946107784</v>
      </c>
    </row>
    <row r="181" spans="1:4">
      <c r="A181" t="s">
        <v>183</v>
      </c>
      <c r="B181" s="1" t="str">
        <f>IFERROR(VLOOKUP(A181,[2]Sheet1!B:C,2,FALSE),"缺失")</f>
        <v>4090.0</v>
      </c>
      <c r="C181" s="1">
        <v>358.851485148515</v>
      </c>
      <c r="D181" s="2">
        <f>IFERROR(VLOOKUP(A181,[4]Sheet1!A:B,2,FALSE),"缺失")</f>
        <v>8.26505158678</v>
      </c>
    </row>
    <row r="182" spans="1:4">
      <c r="A182" t="s">
        <v>184</v>
      </c>
      <c r="B182" s="1" t="str">
        <f>IFERROR(VLOOKUP(A182,[2]Sheet1!B:C,2,FALSE),"缺失")</f>
        <v>2599.0</v>
      </c>
      <c r="C182" s="1">
        <v>272.987416076604</v>
      </c>
      <c r="D182" s="2">
        <f>IFERROR(VLOOKUP(A182,[4]Sheet1!A:B,2,FALSE),"缺失")</f>
        <v>5.67925253399</v>
      </c>
    </row>
    <row r="183" spans="1:4">
      <c r="A183" t="s">
        <v>185</v>
      </c>
      <c r="B183" s="1" t="str">
        <f>IFERROR(VLOOKUP(A183,[2]Sheet1!B:C,2,FALSE),"缺失")</f>
        <v>4711.0</v>
      </c>
      <c r="C183" s="1">
        <v>268.368466239079</v>
      </c>
      <c r="D183" s="2">
        <f>IFERROR(VLOOKUP(A183,[4]Sheet1!A:B,2,FALSE),"缺失")</f>
        <v>9.73380423814</v>
      </c>
    </row>
    <row r="184" spans="1:4">
      <c r="A184" t="s">
        <v>186</v>
      </c>
      <c r="B184" s="1" t="str">
        <f>IFERROR(VLOOKUP(A184,[2]Sheet1!B:C,2,FALSE),"缺失")</f>
        <v>4275.0</v>
      </c>
      <c r="C184" s="1">
        <v>260.506781750925</v>
      </c>
      <c r="D184" s="2">
        <f>IFERROR(VLOOKUP(A184,[4]Sheet1!A:B,2,FALSE),"缺失")</f>
        <v>8.56639700622</v>
      </c>
    </row>
    <row r="185" spans="1:4">
      <c r="A185" t="s">
        <v>187</v>
      </c>
      <c r="B185" s="1" t="str">
        <f>IFERROR(VLOOKUP(A185,[2]Sheet1!B:C,2,FALSE),"缺失")</f>
        <v>592.0</v>
      </c>
      <c r="C185" s="1">
        <v>127.440610014936</v>
      </c>
      <c r="D185" s="2">
        <f>IFERROR(VLOOKUP(A185,[4]Sheet1!A:B,2,FALSE),"缺失")</f>
        <v>4.52183956321</v>
      </c>
    </row>
    <row r="186" spans="1:4">
      <c r="A186" t="s">
        <v>188</v>
      </c>
      <c r="B186" s="1" t="str">
        <f>IFERROR(VLOOKUP(A186,[2]Sheet1!B:C,2,FALSE),"缺失")</f>
        <v>2108.0</v>
      </c>
      <c r="C186" s="1">
        <v>292.146377254662</v>
      </c>
      <c r="D186" s="2">
        <f>IFERROR(VLOOKUP(A186,[4]Sheet1!A:B,2,FALSE),"缺失")</f>
        <v>7.23253549696</v>
      </c>
    </row>
    <row r="187" spans="1:4">
      <c r="A187" t="s">
        <v>189</v>
      </c>
      <c r="B187" s="1" t="str">
        <f>IFERROR(VLOOKUP(A187,[2]Sheet1!B:C,2,FALSE),"缺失")</f>
        <v>2980.0</v>
      </c>
      <c r="C187" s="1">
        <v>187.164102564103</v>
      </c>
      <c r="D187" s="2">
        <f>IFERROR(VLOOKUP(A187,[4]Sheet1!A:B,2,FALSE),"缺失")</f>
        <v>6.09827755651</v>
      </c>
    </row>
    <row r="188" spans="1:4">
      <c r="A188" t="s">
        <v>190</v>
      </c>
      <c r="B188" s="1" t="str">
        <f>IFERROR(VLOOKUP(A188,[2]Sheet1!B:C,2,FALSE),"缺失")</f>
        <v>2410.0</v>
      </c>
      <c r="C188" s="1">
        <v>197.461530503156</v>
      </c>
      <c r="D188" s="2">
        <f>IFERROR(VLOOKUP(A188,[4]Sheet1!A:B,2,FALSE),"缺失")</f>
        <v>5.67668296183</v>
      </c>
    </row>
    <row r="189" spans="1:4">
      <c r="A189" t="s">
        <v>191</v>
      </c>
      <c r="B189" s="1" t="str">
        <f>IFERROR(VLOOKUP(A189,[2]Sheet1!B:C,2,FALSE),"缺失")</f>
        <v>1878.0</v>
      </c>
      <c r="C189" s="1">
        <v>137.874428972426</v>
      </c>
      <c r="D189" s="2">
        <f>IFERROR(VLOOKUP(A189,[4]Sheet1!A:B,2,FALSE),"缺失")</f>
        <v>3.98300838689</v>
      </c>
    </row>
    <row r="190" spans="1:4">
      <c r="A190" t="s">
        <v>192</v>
      </c>
      <c r="B190" s="1" t="str">
        <f>IFERROR(VLOOKUP(A190,[2]Sheet1!B:C,2,FALSE),"缺失")</f>
        <v>1929.0</v>
      </c>
      <c r="C190" s="1">
        <v>381.577419958809</v>
      </c>
      <c r="D190" s="2">
        <f>IFERROR(VLOOKUP(A190,[4]Sheet1!A:B,2,FALSE),"缺失")</f>
        <v>9.7477799704</v>
      </c>
    </row>
    <row r="191" spans="1:4">
      <c r="A191" t="s">
        <v>193</v>
      </c>
      <c r="B191" s="1">
        <v>817.5</v>
      </c>
      <c r="C191" s="1">
        <v>125.003303536728</v>
      </c>
      <c r="D191" s="2">
        <f>IFERROR(VLOOKUP(A191,[4]Sheet1!A:B,2,FALSE),"缺失")</f>
        <v>4.41887791336</v>
      </c>
    </row>
    <row r="192" spans="1:4">
      <c r="A192" t="s">
        <v>194</v>
      </c>
      <c r="B192" s="1" t="str">
        <f>IFERROR(VLOOKUP(A192,[2]Sheet1!B:C,2,FALSE),"缺失")</f>
        <v>28839.0</v>
      </c>
      <c r="C192" s="1">
        <v>781.053268227722</v>
      </c>
      <c r="D192" s="2">
        <f>IFERROR(VLOOKUP(A192,[4]Sheet1!A:B,2,FALSE),"缺失")</f>
        <v>39.6190540541</v>
      </c>
    </row>
    <row r="193" spans="1:4">
      <c r="A193" t="s">
        <v>195</v>
      </c>
      <c r="B193" s="1" t="str">
        <f>IFERROR(VLOOKUP(A193,[2]Sheet1!B:C,2,FALSE),"缺失")</f>
        <v>1564.0</v>
      </c>
      <c r="C193" s="1">
        <v>134.18726671191</v>
      </c>
      <c r="D193" s="2">
        <f>IFERROR(VLOOKUP(A193,[4]Sheet1!A:B,2,FALSE),"缺失")</f>
        <v>7.24889951633</v>
      </c>
    </row>
    <row r="194" spans="1:4">
      <c r="A194" t="s">
        <v>196</v>
      </c>
      <c r="B194" s="1" t="str">
        <f>IFERROR(VLOOKUP(A194,[2]Sheet1!B:C,2,FALSE),"缺失")</f>
        <v>32388.0</v>
      </c>
      <c r="C194" s="1">
        <v>791.176074136479</v>
      </c>
      <c r="D194" s="2">
        <f>IFERROR(VLOOKUP(A194,[4]Sheet1!A:B,2,FALSE),"缺失")</f>
        <v>56.0576923077</v>
      </c>
    </row>
    <row r="195" spans="1:4">
      <c r="A195" t="s">
        <v>197</v>
      </c>
      <c r="B195" s="1" t="str">
        <f>IFERROR(VLOOKUP(A195,[2]Sheet1!B:C,2,FALSE),"缺失")</f>
        <v>4045.0</v>
      </c>
      <c r="C195" s="1">
        <v>446.470967741936</v>
      </c>
      <c r="D195" s="2">
        <f>IFERROR(VLOOKUP(A195,[4]Sheet1!A:B,2,FALSE),"缺失")</f>
        <v>44.162397541</v>
      </c>
    </row>
    <row r="196" spans="1:4">
      <c r="A196" t="s">
        <v>198</v>
      </c>
      <c r="B196" s="1" t="str">
        <f>IFERROR(VLOOKUP(A196,[2]Sheet1!B:C,2,FALSE),"缺失")</f>
        <v>3017.0</v>
      </c>
      <c r="C196" s="1">
        <v>1616.76708562451</v>
      </c>
      <c r="D196" s="2">
        <f>IFERROR(VLOOKUP(A196,[4]Sheet1!A:B,2,FALSE),"缺失")</f>
        <v>44.7169650469</v>
      </c>
    </row>
    <row r="197" spans="1:4">
      <c r="A197" t="s">
        <v>199</v>
      </c>
      <c r="B197" s="1" t="str">
        <f>IFERROR(VLOOKUP(A197,[2]Sheet1!B:C,2,FALSE),"缺失")</f>
        <v>12698.0</v>
      </c>
      <c r="C197" s="1">
        <v>681.745371333472</v>
      </c>
      <c r="D197" s="2">
        <f>IFERROR(VLOOKUP(A197,[4]Sheet1!A:B,2,FALSE),"缺失")</f>
        <v>48.0709014233</v>
      </c>
    </row>
    <row r="198" spans="1:4">
      <c r="A198" t="s">
        <v>200</v>
      </c>
      <c r="B198" s="1" t="str">
        <f>IFERROR(VLOOKUP(A198,[2]Sheet1!B:C,2,FALSE),"缺失")</f>
        <v>3773.0</v>
      </c>
      <c r="C198" s="1">
        <v>334.716536781708</v>
      </c>
      <c r="D198" s="2">
        <f>IFERROR(VLOOKUP(A198,[4]Sheet1!A:B,2,FALSE),"缺失")</f>
        <v>22.2059217992</v>
      </c>
    </row>
    <row r="199" spans="1:4">
      <c r="A199" t="s">
        <v>201</v>
      </c>
      <c r="B199" s="1" t="str">
        <f>IFERROR(VLOOKUP(A199,[2]Sheet1!B:C,2,FALSE),"缺失")</f>
        <v>3713.0</v>
      </c>
      <c r="C199" s="1">
        <v>389.421897243432</v>
      </c>
      <c r="D199" s="2">
        <f>IFERROR(VLOOKUP(A199,[4]Sheet1!A:B,2,FALSE),"缺失")</f>
        <v>19.9538324948</v>
      </c>
    </row>
    <row r="200" spans="1:4">
      <c r="A200" t="s">
        <v>202</v>
      </c>
      <c r="B200" s="1" t="str">
        <f>IFERROR(VLOOKUP(A200,[2]Sheet1!B:C,2,FALSE),"缺失")</f>
        <v>3905.0</v>
      </c>
      <c r="C200" s="1">
        <v>381.45033205173</v>
      </c>
      <c r="D200" s="2">
        <f>IFERROR(VLOOKUP(A200,[4]Sheet1!A:B,2,FALSE),"缺失")</f>
        <v>14.9651884895</v>
      </c>
    </row>
    <row r="201" spans="1:4">
      <c r="A201" t="s">
        <v>203</v>
      </c>
      <c r="B201" s="1" t="str">
        <f>IFERROR(VLOOKUP(A201,[2]Sheet1!B:C,2,FALSE),"缺失")</f>
        <v>2705.0</v>
      </c>
      <c r="C201" s="1">
        <v>186.898574359514</v>
      </c>
      <c r="D201" s="2">
        <f>IFERROR(VLOOKUP(A201,[4]Sheet1!A:B,2,FALSE),"缺失")</f>
        <v>11.9334899329</v>
      </c>
    </row>
    <row r="202" spans="1:4">
      <c r="A202" t="s">
        <v>204</v>
      </c>
      <c r="B202" s="1" t="str">
        <f>IFERROR(VLOOKUP(A202,[2]Sheet1!B:C,2,FALSE),"缺失")</f>
        <v>5401.0</v>
      </c>
      <c r="C202" s="1">
        <v>181.075767107011</v>
      </c>
      <c r="D202" s="2">
        <f>IFERROR(VLOOKUP(A202,[4]Sheet1!A:B,2,FALSE),"缺失")</f>
        <v>23.2526334117</v>
      </c>
    </row>
    <row r="203" spans="1:4">
      <c r="A203" t="s">
        <v>205</v>
      </c>
      <c r="B203" s="1" t="str">
        <f>IFERROR(VLOOKUP(A203,[2]Sheet1!B:C,2,FALSE),"缺失")</f>
        <v>1318.0</v>
      </c>
      <c r="C203" s="1">
        <v>223.249642310918</v>
      </c>
      <c r="D203" s="2">
        <f>IFERROR(VLOOKUP(A203,[4]Sheet1!A:B,2,FALSE),"缺失")</f>
        <v>10.2121460554</v>
      </c>
    </row>
    <row r="204" spans="1:4">
      <c r="A204" t="s">
        <v>206</v>
      </c>
      <c r="B204" s="1" t="str">
        <f>IFERROR(VLOOKUP(A204,[2]Sheet1!B:C,2,FALSE),"缺失")</f>
        <v>1322.0</v>
      </c>
      <c r="C204" s="1">
        <v>393.102479881754</v>
      </c>
      <c r="D204" s="2">
        <f>IFERROR(VLOOKUP(A204,[4]Sheet1!A:B,2,FALSE),"缺失")</f>
        <v>22.9032076533</v>
      </c>
    </row>
    <row r="205" spans="1:4">
      <c r="A205" t="s">
        <v>207</v>
      </c>
      <c r="B205" s="1" t="str">
        <f>IFERROR(VLOOKUP(A205,[2]Sheet1!B:C,2,FALSE),"缺失")</f>
        <v>1295.0</v>
      </c>
      <c r="C205" s="1">
        <v>139.401644687359</v>
      </c>
      <c r="D205" s="2">
        <f>IFERROR(VLOOKUP(A205,[4]Sheet1!A:B,2,FALSE),"缺失")</f>
        <v>8.71145487088</v>
      </c>
    </row>
    <row r="206" spans="1:4">
      <c r="A206" t="s">
        <v>208</v>
      </c>
      <c r="B206" s="1" t="str">
        <f>IFERROR(VLOOKUP(A206,[2]Sheet1!B:C,2,FALSE),"缺失")</f>
        <v>1535.0</v>
      </c>
      <c r="C206" s="1">
        <v>243.471262037506</v>
      </c>
      <c r="D206" s="2">
        <f>IFERROR(VLOOKUP(A206,[4]Sheet1!A:B,2,FALSE),"缺失")</f>
        <v>14.1442903146</v>
      </c>
    </row>
    <row r="207" spans="1:4">
      <c r="A207" t="s">
        <v>209</v>
      </c>
      <c r="B207" s="1" t="str">
        <f>IFERROR(VLOOKUP(A207,[2]Sheet1!B:C,2,FALSE),"缺失")</f>
        <v>2032.0</v>
      </c>
      <c r="C207" s="1">
        <v>149.705268348812</v>
      </c>
      <c r="D207" s="2">
        <f>IFERROR(VLOOKUP(A207,[4]Sheet1!A:B,2,FALSE),"缺失")</f>
        <v>10.2397267472</v>
      </c>
    </row>
    <row r="208" spans="1:4">
      <c r="A208" t="s">
        <v>210</v>
      </c>
      <c r="B208" s="1" t="str">
        <f>IFERROR(VLOOKUP(A208,[2]Sheet1!B:C,2,FALSE),"缺失")</f>
        <v>11200.0</v>
      </c>
      <c r="C208" s="1">
        <v>626.257441936539</v>
      </c>
      <c r="D208" s="2">
        <f>IFERROR(VLOOKUP(A208,[4]Sheet1!A:B,2,FALSE),"缺失")</f>
        <v>59.5418520016</v>
      </c>
    </row>
    <row r="209" spans="1:4">
      <c r="A209" t="s">
        <v>211</v>
      </c>
      <c r="B209" s="1" t="str">
        <f>IFERROR(VLOOKUP(A209,[2]Sheet1!B:C,2,FALSE),"缺失")</f>
        <v>3631.0</v>
      </c>
      <c r="C209" s="1">
        <v>663.624410933082</v>
      </c>
      <c r="D209" s="2">
        <f>IFERROR(VLOOKUP(A209,[4]Sheet1!A:B,2,FALSE),"缺失")</f>
        <v>53.0918086861</v>
      </c>
    </row>
    <row r="210" spans="1:4">
      <c r="A210" t="s">
        <v>212</v>
      </c>
      <c r="B210" s="1" t="str">
        <f>IFERROR(VLOOKUP(A210,[2]Sheet1!B:C,2,FALSE),"缺失")</f>
        <v>1313.0</v>
      </c>
      <c r="C210" s="1">
        <v>595.670012870013</v>
      </c>
      <c r="D210" s="2">
        <f>IFERROR(VLOOKUP(A210,[4]Sheet1!A:B,2,FALSE),"缺失")</f>
        <v>24.3541346449</v>
      </c>
    </row>
    <row r="211" spans="1:4">
      <c r="A211" t="s">
        <v>213</v>
      </c>
      <c r="B211" s="1" t="str">
        <f>IFERROR(VLOOKUP(A211,[2]Sheet1!B:C,2,FALSE),"缺失")</f>
        <v>2261.0</v>
      </c>
      <c r="C211" s="1">
        <v>695.383797544175</v>
      </c>
      <c r="D211" s="2">
        <f>IFERROR(VLOOKUP(A211,[4]Sheet1!A:B,2,FALSE),"缺失")</f>
        <v>26.4720180893</v>
      </c>
    </row>
    <row r="212" spans="1:4">
      <c r="A212" t="s">
        <v>214</v>
      </c>
      <c r="B212" s="1" t="str">
        <f>IFERROR(VLOOKUP(A212,[2]Sheet1!B:C,2,FALSE),"缺失")</f>
        <v>1162.0</v>
      </c>
      <c r="C212" s="1">
        <v>235.428150705799</v>
      </c>
      <c r="D212" s="2">
        <f>IFERROR(VLOOKUP(A212,[4]Sheet1!A:B,2,FALSE),"缺失")</f>
        <v>11.6278055662</v>
      </c>
    </row>
    <row r="213" spans="1:4">
      <c r="A213" t="s">
        <v>215</v>
      </c>
      <c r="B213" s="1" t="str">
        <f>IFERROR(VLOOKUP(A213,[3]Sheet1!B:C,2,FALSE),"缺失")</f>
        <v>5218.0</v>
      </c>
      <c r="C213" s="1">
        <v>221.772388458932</v>
      </c>
      <c r="D213" s="2">
        <f>IFERROR(VLOOKUP(A213,[4]Sheet1!A:B,2,FALSE),"缺失")</f>
        <v>12.7696591063</v>
      </c>
    </row>
    <row r="214" spans="1:4">
      <c r="A214" t="s">
        <v>216</v>
      </c>
      <c r="B214" s="1" t="str">
        <f>IFERROR(VLOOKUP(A214,[3]Sheet1!B:C,2,FALSE),"缺失")</f>
        <v>3109.0</v>
      </c>
      <c r="C214" s="1">
        <v>147.184336038825</v>
      </c>
      <c r="D214" s="2">
        <f>IFERROR(VLOOKUP(A214,[4]Sheet1!A:B,2,FALSE),"缺失")</f>
        <v>7.52519879648</v>
      </c>
    </row>
    <row r="215" spans="1:4">
      <c r="A215" t="s">
        <v>217</v>
      </c>
      <c r="B215" s="1" t="str">
        <f>IFERROR(VLOOKUP(A215,[3]Sheet1!B:C,2,FALSE),"缺失")</f>
        <v>2436.0</v>
      </c>
      <c r="C215" s="1">
        <v>141.916440007851</v>
      </c>
      <c r="D215" s="2">
        <f>IFERROR(VLOOKUP(A215,[4]Sheet1!A:B,2,FALSE),"缺失")</f>
        <v>5.14244900911</v>
      </c>
    </row>
    <row r="216" spans="1:4">
      <c r="A216" t="s">
        <v>218</v>
      </c>
      <c r="B216" s="1" t="str">
        <f>IFERROR(VLOOKUP(A216,[3]Sheet1!B:C,2,FALSE),"缺失")</f>
        <v>1420.0</v>
      </c>
      <c r="C216" s="1">
        <v>171.154278927299</v>
      </c>
      <c r="D216" s="2">
        <f>IFERROR(VLOOKUP(A216,[4]Sheet1!A:B,2,FALSE),"缺失")</f>
        <v>7.33729083665</v>
      </c>
    </row>
    <row r="217" spans="1:4">
      <c r="A217" t="s">
        <v>219</v>
      </c>
      <c r="B217" s="1" t="str">
        <f>IFERROR(VLOOKUP(A217,[3]Sheet1!B:C,2,FALSE),"缺失")</f>
        <v>1674.0</v>
      </c>
      <c r="C217" s="1">
        <v>325.167890125503</v>
      </c>
      <c r="D217" s="2">
        <f>IFERROR(VLOOKUP(A217,[4]Sheet1!A:B,2,FALSE),"缺失")</f>
        <v>17.9973725696</v>
      </c>
    </row>
    <row r="218" spans="1:4">
      <c r="A218" t="s">
        <v>220</v>
      </c>
      <c r="B218" s="1" t="str">
        <f>IFERROR(VLOOKUP(A218,[3]Sheet1!B:C,2,FALSE),"缺失")</f>
        <v>968.0</v>
      </c>
      <c r="C218" s="1">
        <v>104.588841555586</v>
      </c>
      <c r="D218" s="2">
        <f>IFERROR(VLOOKUP(A218,[4]Sheet1!A:B,2,FALSE),"缺失")</f>
        <v>9.44835341365</v>
      </c>
    </row>
    <row r="219" spans="1:4">
      <c r="A219" t="s">
        <v>221</v>
      </c>
      <c r="B219" s="1" t="str">
        <f>IFERROR(VLOOKUP(A219,[3]Sheet1!B:C,2,FALSE),"缺失")</f>
        <v>1917.0</v>
      </c>
      <c r="C219" s="1">
        <v>230.160850111857</v>
      </c>
      <c r="D219" s="2">
        <f>IFERROR(VLOOKUP(A219,[4]Sheet1!A:B,2,FALSE),"缺失")</f>
        <v>9.16735253772</v>
      </c>
    </row>
    <row r="220" spans="1:4">
      <c r="A220" t="s">
        <v>222</v>
      </c>
      <c r="B220" s="1" t="str">
        <f>IFERROR(VLOOKUP(A220,[3]Sheet1!B:C,2,FALSE),"缺失")</f>
        <v>1572.0</v>
      </c>
      <c r="C220" s="1">
        <v>315.2145082332</v>
      </c>
      <c r="D220" s="2">
        <f>IFERROR(VLOOKUP(A220,[4]Sheet1!A:B,2,FALSE),"缺失")</f>
        <v>10.8588135433</v>
      </c>
    </row>
    <row r="221" spans="1:4">
      <c r="A221" t="s">
        <v>223</v>
      </c>
      <c r="B221" s="1" t="str">
        <f>IFERROR(VLOOKUP(A221,[3]Sheet1!B:C,2,FALSE),"缺失")</f>
        <v>2167.0</v>
      </c>
      <c r="C221" s="1">
        <v>333.02680717323</v>
      </c>
      <c r="D221" s="2">
        <f>IFERROR(VLOOKUP(A221,[4]Sheet1!A:B,2,FALSE),"缺失")</f>
        <v>11.0306432749</v>
      </c>
    </row>
    <row r="222" spans="1:4">
      <c r="A222" t="s">
        <v>224</v>
      </c>
      <c r="B222" s="1" t="str">
        <f>IFERROR(VLOOKUP(A222,[3]Sheet1!B:C,2,FALSE),"缺失")</f>
        <v>1729.0</v>
      </c>
      <c r="C222" s="1">
        <v>83.500778614067</v>
      </c>
      <c r="D222" s="2">
        <f>IFERROR(VLOOKUP(A222,[4]Sheet1!A:B,2,FALSE),"缺失")</f>
        <v>4.11039946995</v>
      </c>
    </row>
    <row r="223" spans="1:4">
      <c r="A223" t="s">
        <v>225</v>
      </c>
      <c r="B223" s="1" t="str">
        <f>IFERROR(VLOOKUP(A223,[3]Sheet1!B:C,2,FALSE),"缺失")</f>
        <v>972.0</v>
      </c>
      <c r="C223" s="1">
        <v>134.440460262243</v>
      </c>
      <c r="D223" s="2">
        <f>IFERROR(VLOOKUP(A223,[4]Sheet1!A:B,2,FALSE),"缺失")</f>
        <v>6.12858480129</v>
      </c>
    </row>
    <row r="224" spans="1:4">
      <c r="A224" t="s">
        <v>226</v>
      </c>
      <c r="B224" s="1" t="str">
        <f>IFERROR(VLOOKUP(A224,[3]Sheet1!B:C,2,FALSE),"缺失")</f>
        <v>1136.0</v>
      </c>
      <c r="C224" s="1">
        <v>94.1333642906896</v>
      </c>
      <c r="D224" s="2">
        <f>IFERROR(VLOOKUP(A224,[4]Sheet1!A:B,2,FALSE),"缺失")</f>
        <v>3.71917132522</v>
      </c>
    </row>
    <row r="225" spans="1:4">
      <c r="A225" t="s">
        <v>227</v>
      </c>
      <c r="B225" s="1" t="str">
        <f>IFERROR(VLOOKUP(A225,[3]Sheet1!B:C,2,FALSE),"缺失")</f>
        <v>901.0</v>
      </c>
      <c r="C225" s="1">
        <v>141.384093170246</v>
      </c>
      <c r="D225" s="2">
        <f>IFERROR(VLOOKUP(A225,[4]Sheet1!A:B,2,FALSE),"缺失")</f>
        <v>7.53807068669</v>
      </c>
    </row>
    <row r="226" spans="1:4">
      <c r="A226" t="s">
        <v>228</v>
      </c>
      <c r="B226" s="1" t="str">
        <f>IFERROR(VLOOKUP(A226,[3]Sheet1!B:C,2,FALSE),"缺失")</f>
        <v>1081.0</v>
      </c>
      <c r="C226" s="1">
        <v>108.61349721283</v>
      </c>
      <c r="D226" s="2">
        <f>IFERROR(VLOOKUP(A226,[4]Sheet1!A:B,2,FALSE),"缺失")</f>
        <v>6.84738631779</v>
      </c>
    </row>
    <row r="227" spans="1:4">
      <c r="A227" t="s">
        <v>229</v>
      </c>
      <c r="B227" s="1" t="str">
        <f>IFERROR(VLOOKUP(A227,[3]Sheet1!B:C,2,FALSE),"缺失")</f>
        <v>2135.0</v>
      </c>
      <c r="C227" s="1">
        <v>393.52244750181</v>
      </c>
      <c r="D227" s="2">
        <f>IFERROR(VLOOKUP(A227,[4]Sheet1!A:B,2,FALSE),"缺失")</f>
        <v>25.3326653307</v>
      </c>
    </row>
    <row r="228" spans="1:4">
      <c r="A228" t="s">
        <v>230</v>
      </c>
      <c r="B228" s="1" t="str">
        <f>IFERROR(VLOOKUP(A228,[3]Sheet1!B:C,2,FALSE),"缺失")</f>
        <v>847.0</v>
      </c>
      <c r="C228" s="1">
        <v>175.239338555265</v>
      </c>
      <c r="D228" s="2">
        <f>IFERROR(VLOOKUP(A228,[4]Sheet1!A:B,2,FALSE),"缺失")</f>
        <v>21.8690909091</v>
      </c>
    </row>
    <row r="229" spans="1:4">
      <c r="A229" t="s">
        <v>231</v>
      </c>
      <c r="B229" s="1">
        <v>25.35</v>
      </c>
      <c r="C229" s="1" t="s">
        <v>232</v>
      </c>
      <c r="D229" s="2" t="s">
        <v>232</v>
      </c>
    </row>
    <row r="230" spans="1:4">
      <c r="A230" t="s">
        <v>233</v>
      </c>
      <c r="B230" s="1" t="str">
        <f>IFERROR(VLOOKUP(A230,[3]Sheet1!B:C,2,FALSE),"缺失")</f>
        <v>879.0</v>
      </c>
      <c r="C230" s="1">
        <v>188.248640632724</v>
      </c>
      <c r="D230" s="2">
        <f>IFERROR(VLOOKUP(A230,[4]Sheet1!A:B,2,FALSE),"缺失")</f>
        <v>14.5738349242</v>
      </c>
    </row>
    <row r="231" spans="1:4">
      <c r="A231" t="s">
        <v>234</v>
      </c>
      <c r="B231" s="1" t="str">
        <f>IFERROR(VLOOKUP(A231,[1]Sheet1!B:C,2,FALSE),"缺失")</f>
        <v>20818.0</v>
      </c>
      <c r="C231" s="1">
        <v>609.376190231098</v>
      </c>
      <c r="D231" s="2">
        <f>IFERROR(VLOOKUP(A231,[4]Sheet1!A:B,2,FALSE),"缺失")</f>
        <v>23.7297787703</v>
      </c>
    </row>
    <row r="232" spans="1:4">
      <c r="A232" t="s">
        <v>235</v>
      </c>
      <c r="B232" s="1" t="str">
        <f>IFERROR(VLOOKUP(A232,[1]Sheet1!B:C,2,FALSE),"缺失")</f>
        <v>1638.0</v>
      </c>
      <c r="C232" s="1">
        <v>568.614937617501</v>
      </c>
      <c r="D232" s="2">
        <f>IFERROR(VLOOKUP(A232,[4]Sheet1!A:B,2,FALSE),"缺失")</f>
        <v>12.3153916628</v>
      </c>
    </row>
    <row r="233" spans="1:4">
      <c r="A233" t="s">
        <v>236</v>
      </c>
      <c r="B233" s="1" t="str">
        <f>IFERROR(VLOOKUP(A233,[1]Sheet1!B:C,2,FALSE),"缺失")</f>
        <v>1221.0</v>
      </c>
      <c r="C233" s="1">
        <v>109.45306038048</v>
      </c>
      <c r="D233" s="2">
        <f>IFERROR(VLOOKUP(A233,[4]Sheet1!A:B,2,FALSE),"缺失")</f>
        <v>5.55283783784</v>
      </c>
    </row>
    <row r="234" spans="1:4">
      <c r="A234" t="s">
        <v>237</v>
      </c>
      <c r="B234" s="1" t="str">
        <f>IFERROR(VLOOKUP(A234,[1]Sheet1!B:C,2,FALSE),"缺失")</f>
        <v>2602.0</v>
      </c>
      <c r="C234" s="1">
        <v>285.480956489585</v>
      </c>
      <c r="D234" s="2">
        <f>IFERROR(VLOOKUP(A234,[4]Sheet1!A:B,2,FALSE),"缺失")</f>
        <v>8.02311147407</v>
      </c>
    </row>
    <row r="235" spans="1:4">
      <c r="A235" t="s">
        <v>238</v>
      </c>
      <c r="B235" s="1" t="str">
        <f>IFERROR(VLOOKUP(A235,[1]Sheet1!B:C,2,FALSE),"缺失")</f>
        <v>2817.0</v>
      </c>
      <c r="C235" s="1">
        <v>488.496898263027</v>
      </c>
      <c r="D235" s="2">
        <f>IFERROR(VLOOKUP(A235,[4]Sheet1!A:B,2,FALSE),"缺失")</f>
        <v>15.2002369668</v>
      </c>
    </row>
    <row r="236" spans="1:4">
      <c r="A236" t="s">
        <v>239</v>
      </c>
      <c r="B236" s="1" t="str">
        <f>IFERROR(VLOOKUP(A236,[1]Sheet1!B:C,2,FALSE),"缺失")</f>
        <v>3627.0</v>
      </c>
      <c r="C236" s="1">
        <v>198.247048236141</v>
      </c>
      <c r="D236" s="2">
        <f>IFERROR(VLOOKUP(A236,[4]Sheet1!A:B,2,FALSE),"缺失")</f>
        <v>6.86804835924</v>
      </c>
    </row>
    <row r="237" spans="1:4">
      <c r="A237" t="s">
        <v>240</v>
      </c>
      <c r="B237" s="1" t="str">
        <f>IFERROR(VLOOKUP(A237,[1]Sheet1!B:C,2,FALSE),"缺失")</f>
        <v>1140.0</v>
      </c>
      <c r="C237" s="1">
        <v>143.172152011789</v>
      </c>
      <c r="D237" s="2">
        <f>IFERROR(VLOOKUP(A237,[4]Sheet1!A:B,2,FALSE),"缺失")</f>
        <v>4.72492187021</v>
      </c>
    </row>
    <row r="238" spans="1:4">
      <c r="A238" t="s">
        <v>241</v>
      </c>
      <c r="B238" s="1" t="str">
        <f>IFERROR(VLOOKUP(A238,[1]Sheet1!B:C,2,FALSE),"缺失")</f>
        <v>1614.0</v>
      </c>
      <c r="C238" s="1">
        <v>527.18954520244</v>
      </c>
      <c r="D238" s="2">
        <f>IFERROR(VLOOKUP(A238,[4]Sheet1!A:B,2,FALSE),"缺失")</f>
        <v>13.5620300752</v>
      </c>
    </row>
    <row r="239" spans="1:4">
      <c r="A239" t="s">
        <v>242</v>
      </c>
      <c r="B239" s="1" t="str">
        <f>IFERROR(VLOOKUP(A239,[1]Sheet1!B:C,2,FALSE),"缺失")</f>
        <v>1657.0</v>
      </c>
      <c r="C239" s="1">
        <v>612.288442906574</v>
      </c>
      <c r="D239" s="2">
        <f>IFERROR(VLOOKUP(A239,[4]Sheet1!A:B,2,FALSE),"缺失")</f>
        <v>12.4625673416</v>
      </c>
    </row>
    <row r="240" spans="1:4">
      <c r="A240" t="s">
        <v>243</v>
      </c>
      <c r="B240" s="1" t="str">
        <f>IFERROR(VLOOKUP(A240,[1]Sheet1!B:C,2,FALSE),"缺失")</f>
        <v>2309.0</v>
      </c>
      <c r="C240" s="1">
        <v>215.406132297552</v>
      </c>
      <c r="D240" s="2">
        <f>IFERROR(VLOOKUP(A240,[4]Sheet1!A:B,2,FALSE),"缺失")</f>
        <v>6.53523226616</v>
      </c>
    </row>
    <row r="241" spans="1:4">
      <c r="A241" t="s">
        <v>244</v>
      </c>
      <c r="B241" s="1" t="str">
        <f>IFERROR(VLOOKUP(A241,[1]Sheet1!B:C,2,FALSE),"缺失")</f>
        <v>2685.0</v>
      </c>
      <c r="C241" s="1">
        <v>440.763315696649</v>
      </c>
      <c r="D241" s="2">
        <f>IFERROR(VLOOKUP(A241,[4]Sheet1!A:B,2,FALSE),"缺失")</f>
        <v>10.0908726982</v>
      </c>
    </row>
    <row r="242" spans="1:4">
      <c r="A242" t="s">
        <v>245</v>
      </c>
      <c r="B242" s="1" t="str">
        <f>IFERROR(VLOOKUP(A242,[1]Sheet1!B:C,2,FALSE),"缺失")</f>
        <v>1636.0</v>
      </c>
      <c r="C242" s="1">
        <v>370.334895345205</v>
      </c>
      <c r="D242" s="2">
        <f>IFERROR(VLOOKUP(A242,[4]Sheet1!A:B,2,FALSE),"缺失")</f>
        <v>12.2327166504</v>
      </c>
    </row>
    <row r="243" spans="1:4">
      <c r="A243" t="s">
        <v>246</v>
      </c>
      <c r="B243" s="1" t="str">
        <f>IFERROR(VLOOKUP(A243,[1]Sheet1!B:C,2,FALSE),"缺失")</f>
        <v>3428.0</v>
      </c>
      <c r="C243" s="1">
        <v>304.269599772921</v>
      </c>
      <c r="D243" s="2">
        <f>IFERROR(VLOOKUP(A243,[4]Sheet1!A:B,2,FALSE),"缺失")</f>
        <v>9.20320855615</v>
      </c>
    </row>
    <row r="244" spans="1:4">
      <c r="A244" t="s">
        <v>247</v>
      </c>
      <c r="B244" s="1" t="str">
        <f>IFERROR(VLOOKUP(A244,[1]Sheet1!B:C,2,FALSE),"缺失")</f>
        <v>1425.0</v>
      </c>
      <c r="C244" s="1">
        <v>508.038474950599</v>
      </c>
      <c r="D244" s="2">
        <f>IFERROR(VLOOKUP(A244,[4]Sheet1!A:B,2,FALSE),"缺失")</f>
        <v>10.8547318612</v>
      </c>
    </row>
    <row r="245" spans="1:4">
      <c r="A245" t="s">
        <v>248</v>
      </c>
      <c r="B245" s="1" t="str">
        <f>IFERROR(VLOOKUP(A245,[1]Sheet1!B:C,2,FALSE),"缺失")</f>
        <v>2503.0</v>
      </c>
      <c r="C245" s="1">
        <v>290.942563242241</v>
      </c>
      <c r="D245" s="2">
        <f>IFERROR(VLOOKUP(A245,[4]Sheet1!A:B,2,FALSE),"缺失")</f>
        <v>6.49315729186</v>
      </c>
    </row>
    <row r="246" spans="1:4">
      <c r="A246" t="s">
        <v>249</v>
      </c>
      <c r="B246" s="1" t="str">
        <f>IFERROR(VLOOKUP(A246,[1]Sheet1!B:C,2,FALSE),"缺失")</f>
        <v>903.0</v>
      </c>
      <c r="C246" s="1">
        <v>78.7123159039241</v>
      </c>
      <c r="D246" s="2">
        <f>IFERROR(VLOOKUP(A246,[4]Sheet1!A:B,2,FALSE),"缺失")</f>
        <v>3.41965179107</v>
      </c>
    </row>
    <row r="247" spans="1:4">
      <c r="A247" t="s">
        <v>250</v>
      </c>
      <c r="B247" s="1" t="str">
        <f>IFERROR(VLOOKUP(A247,[1]Sheet1!B:C,2,FALSE),"缺失")</f>
        <v>765.0</v>
      </c>
      <c r="C247" s="1">
        <v>205.05617510974</v>
      </c>
      <c r="D247" s="2">
        <f>IFERROR(VLOOKUP(A247,[4]Sheet1!A:B,2,FALSE),"缺失")</f>
        <v>4.97720797721</v>
      </c>
    </row>
    <row r="248" spans="1:4">
      <c r="A248" t="s">
        <v>251</v>
      </c>
      <c r="B248" s="1" t="str">
        <f>IFERROR(VLOOKUP(A248,[1]Sheet1!B:C,2,FALSE),"缺失")</f>
        <v>948.0</v>
      </c>
      <c r="C248" s="1">
        <v>484.699741267788</v>
      </c>
      <c r="D248" s="2">
        <f>IFERROR(VLOOKUP(A248,[4]Sheet1!A:B,2,FALSE),"缺失")</f>
        <v>10.4399721206</v>
      </c>
    </row>
    <row r="249" spans="1:4">
      <c r="A249" t="s">
        <v>252</v>
      </c>
      <c r="B249" s="1">
        <v>462.51</v>
      </c>
      <c r="C249" s="1">
        <v>7.56817606439166</v>
      </c>
      <c r="D249" s="2">
        <f>IFERROR(VLOOKUP(A249,[4]Sheet1!A:B,2,FALSE),"缺失")</f>
        <v>1.12503614806</v>
      </c>
    </row>
    <row r="250" spans="1:4">
      <c r="A250" t="s">
        <v>253</v>
      </c>
      <c r="B250" s="1">
        <v>471.94</v>
      </c>
      <c r="C250" s="1">
        <v>4.5877256353173</v>
      </c>
      <c r="D250" s="2">
        <f>IFERROR(VLOOKUP(A250,[4]Sheet1!A:B,2,FALSE),"缺失")</f>
        <v>0.984557119288</v>
      </c>
    </row>
    <row r="251" spans="1:4">
      <c r="A251" t="s">
        <v>254</v>
      </c>
      <c r="B251" s="1">
        <v>2081.4</v>
      </c>
      <c r="C251" s="1">
        <v>50.6378584748753</v>
      </c>
      <c r="D251" s="2">
        <f>IFERROR(VLOOKUP(A251,[4]Sheet1!A:B,2,FALSE),"缺失")</f>
        <v>3.01832760596</v>
      </c>
    </row>
    <row r="252" spans="1:4">
      <c r="A252" t="s">
        <v>255</v>
      </c>
      <c r="B252" s="1" t="str">
        <f>IFERROR(VLOOKUP(A252,[1]Sheet1!B:C,2,FALSE),"缺失")</f>
        <v>4921.0</v>
      </c>
      <c r="C252" s="1">
        <v>318.351235741445</v>
      </c>
      <c r="D252" s="2">
        <f>IFERROR(VLOOKUP(A252,[4]Sheet1!A:B,2,FALSE),"缺失")</f>
        <v>14.4372746488</v>
      </c>
    </row>
    <row r="253" spans="1:4">
      <c r="A253" t="s">
        <v>256</v>
      </c>
      <c r="B253" s="1" t="str">
        <f>IFERROR(VLOOKUP(A253,[1]Sheet1!B:C,2,FALSE),"缺失")</f>
        <v>1504.0</v>
      </c>
      <c r="C253" s="1">
        <v>213.128682170543</v>
      </c>
      <c r="D253" s="2">
        <f>IFERROR(VLOOKUP(A253,[4]Sheet1!A:B,2,FALSE),"缺失")</f>
        <v>8.01330645161</v>
      </c>
    </row>
    <row r="254" spans="1:4">
      <c r="A254" t="s">
        <v>257</v>
      </c>
      <c r="B254" s="1" t="str">
        <f>IFERROR(VLOOKUP(A254,[1]Sheet1!B:C,2,FALSE),"缺失")</f>
        <v>4401.0</v>
      </c>
      <c r="C254" s="1">
        <v>170.074100471884</v>
      </c>
      <c r="D254" s="2">
        <f>IFERROR(VLOOKUP(A254,[4]Sheet1!A:B,2,FALSE),"缺失")</f>
        <v>6.14292679756</v>
      </c>
    </row>
    <row r="255" spans="1:4">
      <c r="A255" t="s">
        <v>258</v>
      </c>
      <c r="B255" s="1" t="str">
        <f>IFERROR(VLOOKUP(A255,[1]Sheet1!B:C,2,FALSE),"缺失")</f>
        <v>1081.0</v>
      </c>
      <c r="C255" s="1">
        <v>199.602105614973</v>
      </c>
      <c r="D255" s="2">
        <f>IFERROR(VLOOKUP(A255,[4]Sheet1!A:B,2,FALSE),"缺失")</f>
        <v>8.16299416721</v>
      </c>
    </row>
    <row r="256" spans="1:4">
      <c r="A256" t="s">
        <v>259</v>
      </c>
      <c r="B256" s="1" t="str">
        <f>IFERROR(VLOOKUP(A256,[1]Sheet1!B:C,2,FALSE),"缺失")</f>
        <v>2207.0</v>
      </c>
      <c r="C256" s="1">
        <v>188.674011315498</v>
      </c>
      <c r="D256" s="2">
        <f>IFERROR(VLOOKUP(A256,[4]Sheet1!A:B,2,FALSE),"缺失")</f>
        <v>6.12740823551</v>
      </c>
    </row>
    <row r="257" spans="1:4">
      <c r="A257" t="s">
        <v>260</v>
      </c>
      <c r="B257" s="1" t="str">
        <f>IFERROR(VLOOKUP(A257,[1]Sheet1!B:C,2,FALSE),"缺失")</f>
        <v>1477.0</v>
      </c>
      <c r="C257" s="1">
        <v>152.567708552438</v>
      </c>
      <c r="D257" s="2">
        <f>IFERROR(VLOOKUP(A257,[4]Sheet1!A:B,2,FALSE),"缺失")</f>
        <v>6.23073934281</v>
      </c>
    </row>
    <row r="258" spans="1:4">
      <c r="A258" t="s">
        <v>261</v>
      </c>
      <c r="B258" s="1">
        <v>1508.69</v>
      </c>
      <c r="C258" s="1">
        <v>129.959715420863</v>
      </c>
      <c r="D258" s="2">
        <f>IFERROR(VLOOKUP(A258,[4]Sheet1!A:B,2,FALSE),"缺失")</f>
        <v>6.00606889986</v>
      </c>
    </row>
    <row r="259" spans="1:4">
      <c r="A259" t="s">
        <v>262</v>
      </c>
      <c r="B259" s="1">
        <v>1293.08</v>
      </c>
      <c r="C259" s="1">
        <v>104.304831113587</v>
      </c>
      <c r="D259" s="2">
        <f>IFERROR(VLOOKUP(A259,[4]Sheet1!A:B,2,FALSE),"缺失")</f>
        <v>4.3759338843</v>
      </c>
    </row>
    <row r="260" spans="1:4">
      <c r="A260" t="s">
        <v>263</v>
      </c>
      <c r="B260" s="1">
        <v>1772.18</v>
      </c>
      <c r="C260" s="1">
        <v>107.667806402169</v>
      </c>
      <c r="D260" s="2">
        <f>IFERROR(VLOOKUP(A260,[4]Sheet1!A:B,2,FALSE),"缺失")</f>
        <v>5.56732091034</v>
      </c>
    </row>
    <row r="261" spans="1:4">
      <c r="A261" t="s">
        <v>264</v>
      </c>
      <c r="B261" s="1" t="str">
        <f>IFERROR(VLOOKUP(A261,[1]Sheet1!B:C,2,FALSE),"缺失")</f>
        <v>7541.0</v>
      </c>
      <c r="C261" s="1">
        <v>179.401900832535</v>
      </c>
      <c r="D261" s="2">
        <f>IFERROR(VLOOKUP(A261,[4]Sheet1!A:B,2,FALSE),"缺失")</f>
        <v>10.8869647954</v>
      </c>
    </row>
    <row r="262" spans="1:4">
      <c r="A262" t="s">
        <v>265</v>
      </c>
      <c r="B262" s="1" t="str">
        <f>IFERROR(VLOOKUP(A262,[1]Sheet1!B:C,2,FALSE),"缺失")</f>
        <v>3802.0</v>
      </c>
      <c r="C262" s="1">
        <v>143.525144138373</v>
      </c>
      <c r="D262" s="2">
        <f>IFERROR(VLOOKUP(A262,[4]Sheet1!A:B,2,FALSE),"缺失")</f>
        <v>6.74603284356</v>
      </c>
    </row>
    <row r="263" spans="1:4">
      <c r="A263" t="s">
        <v>266</v>
      </c>
      <c r="B263" s="1" t="str">
        <f>IFERROR(VLOOKUP(A263,[1]Sheet1!B:C,2,FALSE),"缺失")</f>
        <v>2521.0</v>
      </c>
      <c r="C263" s="1">
        <v>105.542857142857</v>
      </c>
      <c r="D263" s="2">
        <f>IFERROR(VLOOKUP(A263,[4]Sheet1!A:B,2,FALSE),"缺失")</f>
        <v>6.27324998329</v>
      </c>
    </row>
    <row r="264" spans="1:4">
      <c r="A264" t="s">
        <v>267</v>
      </c>
      <c r="B264" s="1" t="str">
        <f>IFERROR(VLOOKUP(A264,[1]Sheet1!B:C,2,FALSE),"缺失")</f>
        <v>1262.0</v>
      </c>
      <c r="C264" s="1">
        <v>95.4632883525623</v>
      </c>
      <c r="D264" s="2">
        <f>IFERROR(VLOOKUP(A264,[4]Sheet1!A:B,2,FALSE),"缺失")</f>
        <v>4.68270440252</v>
      </c>
    </row>
    <row r="265" spans="1:4">
      <c r="A265" t="s">
        <v>268</v>
      </c>
      <c r="B265" s="1" t="str">
        <f>IFERROR(VLOOKUP(A265,[1]Sheet1!B:C,2,FALSE),"缺失")</f>
        <v>1541.0</v>
      </c>
      <c r="C265" s="1">
        <v>159.271445913137</v>
      </c>
      <c r="D265" s="2">
        <f>IFERROR(VLOOKUP(A265,[4]Sheet1!A:B,2,FALSE),"缺失")</f>
        <v>5.2740318196</v>
      </c>
    </row>
    <row r="266" spans="1:4">
      <c r="A266" t="s">
        <v>269</v>
      </c>
      <c r="B266" s="1" t="str">
        <f>IFERROR(VLOOKUP(A266,[1]Sheet1!B:C,2,FALSE),"缺失")</f>
        <v>620.0</v>
      </c>
      <c r="C266" s="1">
        <v>42.676072025246</v>
      </c>
      <c r="D266" s="2">
        <f>IFERROR(VLOOKUP(A266,[4]Sheet1!A:B,2,FALSE),"缺失")</f>
        <v>2.99178015564</v>
      </c>
    </row>
    <row r="267" spans="1:4">
      <c r="A267" t="s">
        <v>270</v>
      </c>
      <c r="B267" s="1" t="str">
        <f>IFERROR(VLOOKUP(A267,[1]Sheet1!B:C,2,FALSE),"缺失")</f>
        <v>1073.0</v>
      </c>
      <c r="C267" s="1">
        <v>43.9229222997012</v>
      </c>
      <c r="D267" s="2">
        <f>IFERROR(VLOOKUP(A267,[4]Sheet1!A:B,2,FALSE),"缺失")</f>
        <v>2.1491464104</v>
      </c>
    </row>
    <row r="268" spans="1:4">
      <c r="A268" t="s">
        <v>271</v>
      </c>
      <c r="B268" s="1" t="str">
        <f>IFERROR(VLOOKUP(A268,[1]Sheet1!B:C,2,FALSE),"缺失")</f>
        <v>1000.0</v>
      </c>
      <c r="C268" s="1">
        <v>73.4666005291005</v>
      </c>
      <c r="D268" s="2">
        <f>IFERROR(VLOOKUP(A268,[4]Sheet1!A:B,2,FALSE),"缺失")</f>
        <v>3.80294192239</v>
      </c>
    </row>
    <row r="269" spans="1:4">
      <c r="A269" t="s">
        <v>272</v>
      </c>
      <c r="B269" s="1">
        <v>1763.42</v>
      </c>
      <c r="C269" s="1">
        <v>70.7338593388655</v>
      </c>
      <c r="D269" s="2">
        <f>IFERROR(VLOOKUP(A269,[4]Sheet1!A:B,2,FALSE),"缺失")</f>
        <v>3.51891207206</v>
      </c>
    </row>
    <row r="270" spans="1:4">
      <c r="A270" t="s">
        <v>273</v>
      </c>
      <c r="B270" s="1">
        <v>2863.08</v>
      </c>
      <c r="C270" s="1">
        <v>99.8193570501677</v>
      </c>
      <c r="D270" s="2">
        <f>IFERROR(VLOOKUP(A270,[4]Sheet1!A:B,2,FALSE),"缺失")</f>
        <v>4.88729285203</v>
      </c>
    </row>
    <row r="271" spans="1:4">
      <c r="A271" t="s">
        <v>274</v>
      </c>
      <c r="B271" s="1">
        <v>1405.39</v>
      </c>
      <c r="C271" s="1">
        <v>82.6667663924208</v>
      </c>
      <c r="D271" s="2">
        <f>IFERROR(VLOOKUP(A271,[4]Sheet1!A:B,2,FALSE),"缺失")</f>
        <v>3.76297781597</v>
      </c>
    </row>
    <row r="272" spans="1:4">
      <c r="A272" t="s">
        <v>275</v>
      </c>
      <c r="B272" s="1">
        <v>721.39</v>
      </c>
      <c r="C272" s="1">
        <v>36.7655975945878</v>
      </c>
      <c r="D272" s="2">
        <f>IFERROR(VLOOKUP(A272,[4]Sheet1!A:B,2,FALSE),"缺失")</f>
        <v>3.58797292334</v>
      </c>
    </row>
    <row r="273" spans="1:4">
      <c r="A273" t="s">
        <v>276</v>
      </c>
      <c r="B273" s="1">
        <v>1699.6</v>
      </c>
      <c r="C273" s="1">
        <v>91.2555919258047</v>
      </c>
      <c r="D273" s="2">
        <f>IFERROR(VLOOKUP(A273,[4]Sheet1!A:B,2,FALSE),"缺失")</f>
        <v>4.45519459861</v>
      </c>
    </row>
    <row r="274" spans="1:4">
      <c r="A274" t="s">
        <v>277</v>
      </c>
      <c r="B274" s="1">
        <v>587.12</v>
      </c>
      <c r="C274" s="1">
        <v>72.2389831692157</v>
      </c>
      <c r="D274" s="2">
        <f>IFERROR(VLOOKUP(A274,[4]Sheet1!A:B,2,FALSE),"缺失")</f>
        <v>5.32430493274</v>
      </c>
    </row>
    <row r="275" spans="1:4">
      <c r="A275" t="s">
        <v>278</v>
      </c>
      <c r="B275" s="1">
        <v>249.93</v>
      </c>
      <c r="C275" s="1">
        <v>25.6187578682333</v>
      </c>
      <c r="D275" s="2">
        <f>IFERROR(VLOOKUP(A275,[4]Sheet1!A:B,2,FALSE),"缺失")</f>
        <v>2.11090560351</v>
      </c>
    </row>
    <row r="276" spans="1:4">
      <c r="A276" t="s">
        <v>279</v>
      </c>
      <c r="B276" s="1">
        <v>303.362</v>
      </c>
      <c r="C276" s="1">
        <v>11.1437137456821</v>
      </c>
      <c r="D276" s="2">
        <f>IFERROR(VLOOKUP(A276,[4]Sheet1!A:B,2,FALSE),"缺失")</f>
        <v>1.7265827152</v>
      </c>
    </row>
    <row r="277" spans="1:4">
      <c r="A277" t="s">
        <v>280</v>
      </c>
      <c r="B277" s="1" t="str">
        <f>IFERROR(VLOOKUP(A277,[1]Sheet1!B:C,2,FALSE),"缺失")</f>
        <v>748.0</v>
      </c>
      <c r="C277" s="1">
        <v>10.5082037023121</v>
      </c>
      <c r="D277" s="2">
        <f>IFERROR(VLOOKUP(A277,[4]Sheet1!A:B,2,FALSE),"缺失")</f>
        <v>1.98925491781</v>
      </c>
    </row>
    <row r="278" spans="1:4">
      <c r="A278" t="s">
        <v>281</v>
      </c>
      <c r="B278" s="1" t="str">
        <f>IFERROR(VLOOKUP(A278,[1]Sheet1!B:C,2,FALSE),"缺失")</f>
        <v>362.0</v>
      </c>
      <c r="C278" s="1">
        <v>2.6172006183256</v>
      </c>
      <c r="D278" s="2">
        <f>IFERROR(VLOOKUP(A278,[4]Sheet1!A:B,2,FALSE),"缺失")</f>
        <v>0.490104454531</v>
      </c>
    </row>
    <row r="279" spans="1:4">
      <c r="A279" t="s">
        <v>282</v>
      </c>
      <c r="B279" s="1" t="str">
        <f>IFERROR(VLOOKUP(A279,[1]Sheet1!B:C,2,FALSE),"缺失")</f>
        <v>298.0</v>
      </c>
      <c r="C279" s="1">
        <v>3.7425429710038</v>
      </c>
      <c r="D279" s="2">
        <f>IFERROR(VLOOKUP(A279,[4]Sheet1!A:B,2,FALSE),"缺失")</f>
        <v>0.584930234253</v>
      </c>
    </row>
    <row r="280" spans="1:4">
      <c r="A280" t="s">
        <v>283</v>
      </c>
      <c r="B280" s="1" t="str">
        <f>IFERROR(VLOOKUP(A280,[1]Sheet1!B:C,2,FALSE),"缺失")</f>
        <v>208.0</v>
      </c>
      <c r="C280" s="1">
        <v>2.41408823740467</v>
      </c>
      <c r="D280" s="2">
        <f>IFERROR(VLOOKUP(A280,[4]Sheet1!A:B,2,FALSE),"缺失")</f>
        <v>0.449988230473</v>
      </c>
    </row>
    <row r="281" spans="1:4">
      <c r="A281" t="s">
        <v>284</v>
      </c>
      <c r="B281" s="1" t="str">
        <f>IFERROR(VLOOKUP(A281,[1]Sheet1!B:C,2,FALSE),"缺失")</f>
        <v>243.0</v>
      </c>
      <c r="C281" s="1">
        <v>7.36763762719328</v>
      </c>
      <c r="D281" s="2">
        <f>IFERROR(VLOOKUP(A281,[4]Sheet1!A:B,2,FALSE),"缺失")</f>
        <v>1.06285018888</v>
      </c>
    </row>
    <row r="282" spans="1:4">
      <c r="A282" t="s">
        <v>285</v>
      </c>
      <c r="B282" s="1" t="str">
        <f>IFERROR(VLOOKUP(A282,[1]Sheet1!B:C,2,FALSE),"缺失")</f>
        <v>193.0</v>
      </c>
      <c r="C282" s="1">
        <v>0.662168211690396</v>
      </c>
      <c r="D282" s="2">
        <f>IFERROR(VLOOKUP(A282,[4]Sheet1!A:B,2,FALSE),"缺失")</f>
        <v>0.113128978253</v>
      </c>
    </row>
    <row r="283" spans="1:4">
      <c r="A283" t="s">
        <v>286</v>
      </c>
      <c r="B283" s="1">
        <v>91.44</v>
      </c>
      <c r="C283" s="1">
        <v>0.255810727760042</v>
      </c>
      <c r="D283" s="2">
        <f>IFERROR(VLOOKUP(A283,[4]Sheet1!A:B,2,FALSE),"缺失")</f>
        <v>0.121386168575</v>
      </c>
    </row>
    <row r="284" spans="1:4">
      <c r="A284" t="s">
        <v>287</v>
      </c>
      <c r="B284" s="1" t="str">
        <f>IFERROR(VLOOKUP(A284,[1]Sheet1!B:C,2,FALSE),"缺失")</f>
        <v>11487.0</v>
      </c>
      <c r="C284" s="1">
        <v>504.381363668282</v>
      </c>
      <c r="D284" s="2">
        <f>IFERROR(VLOOKUP(A284,[4]Sheet1!A:B,2,FALSE),"缺失")</f>
        <v>17.5915841584</v>
      </c>
    </row>
    <row r="285" spans="1:4">
      <c r="A285" t="s">
        <v>288</v>
      </c>
      <c r="B285" s="1" t="str">
        <f>IFERROR(VLOOKUP(A285,[1]Sheet1!B:C,2,FALSE),"缺失")</f>
        <v>506.0</v>
      </c>
      <c r="C285" s="1">
        <v>155.537407607716</v>
      </c>
      <c r="D285" s="2">
        <f>IFERROR(VLOOKUP(A285,[4]Sheet1!A:B,2,FALSE),"缺失")</f>
        <v>8.75768442623</v>
      </c>
    </row>
    <row r="286" spans="1:4">
      <c r="A286" t="s">
        <v>289</v>
      </c>
      <c r="B286" s="1" t="str">
        <f>IFERROR(VLOOKUP(A286,[1]Sheet1!B:C,2,FALSE),"缺失")</f>
        <v>2743.0</v>
      </c>
      <c r="C286" s="1">
        <v>142.268609935747</v>
      </c>
      <c r="D286" s="2">
        <f>IFERROR(VLOOKUP(A286,[4]Sheet1!A:B,2,FALSE),"缺失")</f>
        <v>5.37421922503</v>
      </c>
    </row>
    <row r="287" spans="1:4">
      <c r="A287" t="s">
        <v>290</v>
      </c>
      <c r="B287" s="1" t="str">
        <f>IFERROR(VLOOKUP(A287,[1]Sheet1!B:C,2,FALSE),"缺失")</f>
        <v>2818.0</v>
      </c>
      <c r="C287" s="1">
        <v>330.758867179522</v>
      </c>
      <c r="D287" s="2">
        <f>IFERROR(VLOOKUP(A287,[4]Sheet1!A:B,2,FALSE),"缺失")</f>
        <v>13.9529844249</v>
      </c>
    </row>
    <row r="288" spans="1:4">
      <c r="A288" t="s">
        <v>291</v>
      </c>
      <c r="B288" s="1" t="str">
        <f>IFERROR(VLOOKUP(A288,[1]Sheet1!B:C,2,FALSE),"缺失")</f>
        <v>2201.0</v>
      </c>
      <c r="C288" s="1">
        <v>284.215874730022</v>
      </c>
      <c r="D288" s="2">
        <f>IFERROR(VLOOKUP(A288,[4]Sheet1!A:B,2,FALSE),"缺失")</f>
        <v>10.8406377571</v>
      </c>
    </row>
    <row r="289" spans="1:4">
      <c r="A289" t="s">
        <v>292</v>
      </c>
      <c r="B289" s="1" t="str">
        <f>IFERROR(VLOOKUP(A289,[1]Sheet1!B:C,2,FALSE),"缺失")</f>
        <v>2232.0</v>
      </c>
      <c r="C289" s="1">
        <v>37.5933332089761</v>
      </c>
      <c r="D289" s="2">
        <f>IFERROR(VLOOKUP(A289,[4]Sheet1!A:B,2,FALSE),"缺失")</f>
        <v>6.8206291346</v>
      </c>
    </row>
    <row r="290" spans="1:4">
      <c r="A290" t="s">
        <v>293</v>
      </c>
      <c r="B290" s="1" t="str">
        <f>IFERROR(VLOOKUP(A290,[1]Sheet1!B:C,2,FALSE),"缺失")</f>
        <v>1905.0</v>
      </c>
      <c r="C290" s="1">
        <v>105.262175066313</v>
      </c>
      <c r="D290" s="2">
        <f>IFERROR(VLOOKUP(A290,[4]Sheet1!A:B,2,FALSE),"缺失")</f>
        <v>3.28035311934</v>
      </c>
    </row>
    <row r="291" spans="1:4">
      <c r="A291" t="s">
        <v>294</v>
      </c>
      <c r="B291" s="1" t="str">
        <f>IFERROR(VLOOKUP(A291,[1]Sheet1!B:C,2,FALSE),"缺失")</f>
        <v>6844.0</v>
      </c>
      <c r="C291" s="1">
        <v>50.1989807153868</v>
      </c>
      <c r="D291" s="2">
        <f>IFERROR(VLOOKUP(A291,[4]Sheet1!A:B,2,FALSE),"缺失")</f>
        <v>10.0430823688</v>
      </c>
    </row>
    <row r="292" spans="1:4">
      <c r="A292" t="s">
        <v>295</v>
      </c>
      <c r="B292" s="1" t="str">
        <f>IFERROR(VLOOKUP(A292,[1]Sheet1!B:C,2,FALSE),"缺失")</f>
        <v>1269.0</v>
      </c>
      <c r="C292" s="1">
        <v>96.2047624915286</v>
      </c>
      <c r="D292" s="2">
        <f>IFERROR(VLOOKUP(A292,[4]Sheet1!A:B,2,FALSE),"缺失")</f>
        <v>3.08220111589</v>
      </c>
    </row>
    <row r="293" spans="1:4">
      <c r="A293" t="s">
        <v>296</v>
      </c>
      <c r="B293" s="1" t="str">
        <f>IFERROR(VLOOKUP(A293,[1]Sheet1!B:C,2,FALSE),"缺失")</f>
        <v>903.0</v>
      </c>
      <c r="C293" s="1">
        <v>93.0191203889884</v>
      </c>
      <c r="D293" s="2">
        <f>IFERROR(VLOOKUP(A293,[4]Sheet1!A:B,2,FALSE),"缺失")</f>
        <v>3.1310094927</v>
      </c>
    </row>
    <row r="294" spans="1:4">
      <c r="A294" t="s">
        <v>297</v>
      </c>
      <c r="B294" s="1" t="str">
        <f>IFERROR(VLOOKUP(A294,[1]Sheet1!B:C,2,FALSE),"缺失")</f>
        <v>3344.0</v>
      </c>
      <c r="C294" s="1">
        <v>152.060821774405</v>
      </c>
      <c r="D294" s="2">
        <f>IFERROR(VLOOKUP(A294,[4]Sheet1!A:B,2,FALSE),"缺失")</f>
        <v>9.60489245683</v>
      </c>
    </row>
    <row r="295" spans="1:4">
      <c r="A295" t="s">
        <v>298</v>
      </c>
      <c r="B295" s="1" t="str">
        <f>IFERROR(VLOOKUP(A295,[1]Sheet1!B:C,2,FALSE),"缺失")</f>
        <v>363.0</v>
      </c>
      <c r="C295" s="1">
        <v>66.3658008658009</v>
      </c>
      <c r="D295" s="2">
        <f>IFERROR(VLOOKUP(A295,[4]Sheet1!A:B,2,FALSE),"缺失")</f>
        <v>14.4297385621</v>
      </c>
    </row>
    <row r="296" spans="1:4">
      <c r="A296" t="s">
        <v>299</v>
      </c>
      <c r="B296" s="1" t="str">
        <f>IFERROR(VLOOKUP(A296,[1]Sheet1!B:C,2,FALSE),"缺失")</f>
        <v>523.0</v>
      </c>
      <c r="C296" s="1">
        <v>38.9061776749154</v>
      </c>
      <c r="D296" s="2">
        <f>IFERROR(VLOOKUP(A296,[4]Sheet1!A:B,2,FALSE),"缺失")</f>
        <v>4.51364471267</v>
      </c>
    </row>
    <row r="297" spans="1:4">
      <c r="A297" t="s">
        <v>300</v>
      </c>
      <c r="B297" s="1" t="str">
        <f>IFERROR(VLOOKUP(A297,[1]Sheet1!B:C,2,FALSE),"缺失")</f>
        <v>636.0</v>
      </c>
      <c r="C297" s="1">
        <v>56.8762153433882</v>
      </c>
      <c r="D297" s="2">
        <f>IFERROR(VLOOKUP(A297,[4]Sheet1!A:B,2,FALSE),"缺失")</f>
        <v>4.36894459365</v>
      </c>
    </row>
    <row r="298" spans="1:4">
      <c r="A298" t="s">
        <v>301</v>
      </c>
      <c r="B298" s="1" t="str">
        <f>IFERROR(VLOOKUP(A298,[1]Sheet1!B:C,2,FALSE),"缺失")</f>
        <v>814.0</v>
      </c>
      <c r="C298" s="1">
        <v>160.776569988636</v>
      </c>
      <c r="D298" s="2">
        <f>IFERROR(VLOOKUP(A298,[4]Sheet1!A:B,2,FALSE),"缺失")</f>
        <v>6.07628721541</v>
      </c>
    </row>
    <row r="299" spans="1:4">
      <c r="A299" t="s">
        <v>302</v>
      </c>
      <c r="B299" s="1" t="str">
        <f>IFERROR(VLOOKUP(A299,[1]Sheet1!B:C,2,FALSE),"缺失")</f>
        <v>663.0</v>
      </c>
      <c r="C299" s="1">
        <v>38.4591351170848</v>
      </c>
      <c r="D299" s="2">
        <f>IFERROR(VLOOKUP(A299,[4]Sheet1!A:B,2,FALSE),"缺失")</f>
        <v>2.15673023514</v>
      </c>
    </row>
    <row r="300" spans="1:4">
      <c r="A300" t="s">
        <v>303</v>
      </c>
      <c r="B300" s="1" t="str">
        <f>IFERROR(VLOOKUP(A300,[1]Sheet1!B:C,2,FALSE),"缺失")</f>
        <v>582.0</v>
      </c>
      <c r="C300" s="1">
        <v>22.1660155536894</v>
      </c>
      <c r="D300" s="2">
        <f>IFERROR(VLOOKUP(A300,[4]Sheet1!A:B,2,FALSE),"缺失")</f>
        <v>2.01089217012</v>
      </c>
    </row>
    <row r="301" spans="1:4">
      <c r="A301" t="s">
        <v>304</v>
      </c>
      <c r="B301" s="1" t="str">
        <f>IFERROR(VLOOKUP(A301,[1]Sheet1!B:C,2,FALSE),"缺失")</f>
        <v>642.0</v>
      </c>
      <c r="C301" s="1">
        <v>134.259334133552</v>
      </c>
      <c r="D301" s="2">
        <f>IFERROR(VLOOKUP(A301,[4]Sheet1!A:B,2,FALSE),"缺失")</f>
        <v>6.88046018335</v>
      </c>
    </row>
    <row r="302" spans="1:4">
      <c r="A302" t="s">
        <v>305</v>
      </c>
      <c r="B302" s="1" t="str">
        <f>IFERROR(VLOOKUP(A302,[1]Sheet1!B:C,2,FALSE),"缺失")</f>
        <v>841.0</v>
      </c>
      <c r="C302" s="1">
        <v>3.60906892476737</v>
      </c>
      <c r="D302" s="2">
        <f>IFERROR(VLOOKUP(A302,[4]Sheet1!A:B,2,FALSE),"缺失")</f>
        <v>0.863278035516</v>
      </c>
    </row>
    <row r="303" spans="1:4">
      <c r="A303" t="s">
        <v>306</v>
      </c>
      <c r="B303" s="1" t="str">
        <f>IFERROR(VLOOKUP(A303,[1]Sheet1!B:C,2,FALSE),"缺失")</f>
        <v>1022.0</v>
      </c>
      <c r="C303" s="1">
        <v>61.903162307948</v>
      </c>
      <c r="D303" s="2">
        <f>IFERROR(VLOOKUP(A303,[4]Sheet1!A:B,2,FALSE),"缺失")</f>
        <v>7.1188553306</v>
      </c>
    </row>
    <row r="304" spans="1:4">
      <c r="A304" t="s">
        <v>307</v>
      </c>
      <c r="B304" s="1" t="str">
        <f>IFERROR(VLOOKUP(A304,[1]Sheet1!B:C,2,FALSE),"缺失")</f>
        <v>558.0</v>
      </c>
      <c r="C304" s="1">
        <v>101.985426811802</v>
      </c>
      <c r="D304" s="2">
        <f>IFERROR(VLOOKUP(A304,[4]Sheet1!A:B,2,FALSE),"缺失")</f>
        <v>4.63934175667</v>
      </c>
    </row>
    <row r="305" spans="1:4">
      <c r="A305" t="s">
        <v>308</v>
      </c>
      <c r="B305" s="1" t="str">
        <f>IFERROR(VLOOKUP(A305,[1]Sheet1!B:C,2,FALSE),"缺失")</f>
        <v>562.0</v>
      </c>
      <c r="C305" s="1">
        <v>68.0457614979281</v>
      </c>
      <c r="D305" s="2">
        <f>IFERROR(VLOOKUP(A305,[4]Sheet1!A:B,2,FALSE),"缺失")</f>
        <v>2.85783962129</v>
      </c>
    </row>
    <row r="306" spans="1:4">
      <c r="A306" t="s">
        <v>309</v>
      </c>
      <c r="B306" s="1">
        <v>408.6</v>
      </c>
      <c r="C306" s="1">
        <v>168.362118048966</v>
      </c>
      <c r="D306" s="2">
        <f>IFERROR(VLOOKUP(A306,[4]Sheet1!A:B,2,FALSE),"缺失")</f>
        <v>6.83448021627</v>
      </c>
    </row>
    <row r="307" spans="1:4">
      <c r="A307" t="s">
        <v>310</v>
      </c>
      <c r="B307" s="1">
        <v>245.12</v>
      </c>
      <c r="C307" s="1">
        <v>12.9311740890688</v>
      </c>
      <c r="D307" s="2">
        <f>IFERROR(VLOOKUP(A307,[4]Sheet1!A:B,2,FALSE),"缺失")</f>
        <v>1.26700684913</v>
      </c>
    </row>
    <row r="308" spans="1:4">
      <c r="A308" t="s">
        <v>311</v>
      </c>
      <c r="B308" s="1" t="str">
        <f>IFERROR(VLOOKUP(A308,[1]Sheet1!B:C,2,FALSE),"缺失")</f>
        <v>1644.0</v>
      </c>
      <c r="C308" s="1">
        <v>165.316060305137</v>
      </c>
      <c r="D308" s="2">
        <f>IFERROR(VLOOKUP(A308,[4]Sheet1!A:B,2,FALSE),"缺失")</f>
        <v>8.4297564187</v>
      </c>
    </row>
    <row r="309" spans="1:4">
      <c r="A309" t="s">
        <v>312</v>
      </c>
      <c r="B309" s="1" t="str">
        <f>IFERROR(VLOOKUP(A309,[1]Sheet1!B:C,2,FALSE),"缺失")</f>
        <v>563.0</v>
      </c>
      <c r="C309" s="1">
        <v>80.3284387014097</v>
      </c>
      <c r="D309" s="2">
        <f>IFERROR(VLOOKUP(A309,[4]Sheet1!A:B,2,FALSE),"缺失")</f>
        <v>5.51738461538</v>
      </c>
    </row>
    <row r="310" spans="1:4">
      <c r="A310" t="s">
        <v>313</v>
      </c>
      <c r="B310" s="1">
        <v>100.77</v>
      </c>
      <c r="C310" s="1">
        <v>5.84931506849315</v>
      </c>
      <c r="D310" s="2">
        <f>IFERROR(VLOOKUP(A310,[4]Sheet1!A:B,2,FALSE),"缺失")</f>
        <v>0.714838184409</v>
      </c>
    </row>
    <row r="311" spans="1:4">
      <c r="A311" t="s">
        <v>314</v>
      </c>
      <c r="B311" s="1">
        <v>110.89</v>
      </c>
      <c r="C311" s="1">
        <v>8.12579741714641</v>
      </c>
      <c r="D311" s="2">
        <f>IFERROR(VLOOKUP(A311,[4]Sheet1!A:B,2,FALSE),"缺失")</f>
        <v>1.18546240852</v>
      </c>
    </row>
    <row r="312" spans="1:4">
      <c r="A312" t="s">
        <v>315</v>
      </c>
      <c r="B312" s="1">
        <v>200.27</v>
      </c>
      <c r="C312" s="1">
        <v>6.41037788518288</v>
      </c>
      <c r="D312" s="2">
        <f>IFERROR(VLOOKUP(A312,[4]Sheet1!A:B,2,FALSE),"缺失")</f>
        <v>1.20110540317</v>
      </c>
    </row>
    <row r="313" spans="1:4">
      <c r="A313" t="s">
        <v>316</v>
      </c>
      <c r="B313" s="1">
        <v>53.62</v>
      </c>
      <c r="C313" s="1">
        <v>1.26191341958203</v>
      </c>
      <c r="D313" s="2">
        <f>IFERROR(VLOOKUP(A313,[4]Sheet1!A:B,2,FALSE),"缺失")</f>
        <v>0.321692067424</v>
      </c>
    </row>
    <row r="314" spans="1:4">
      <c r="A314" t="s">
        <v>317</v>
      </c>
      <c r="B314" s="1">
        <v>72.27</v>
      </c>
      <c r="C314" s="1">
        <v>0.872950990037274</v>
      </c>
      <c r="D314" s="2">
        <f>IFERROR(VLOOKUP(A314,[4]Sheet1!A:B,2,FALSE),"缺失")</f>
        <v>0.151896942933</v>
      </c>
    </row>
    <row r="315" spans="1:4">
      <c r="A315" t="s">
        <v>318</v>
      </c>
      <c r="B315" s="1">
        <v>842.55</v>
      </c>
      <c r="C315" s="1">
        <v>0.741422400881712</v>
      </c>
      <c r="D315" s="2">
        <f>IFERROR(VLOOKUP(A315,[4]Sheet1!A:B,2,FALSE),"缺失")</f>
        <v>0.470794159497</v>
      </c>
    </row>
    <row r="316" spans="1:4">
      <c r="A316" t="s">
        <v>319</v>
      </c>
      <c r="B316" s="1" t="str">
        <f>IFERROR(VLOOKUP(A316,[1]Sheet1!B:C,2,FALSE),"缺失")</f>
        <v>2536.0</v>
      </c>
      <c r="C316" s="1">
        <v>111.643770587096</v>
      </c>
      <c r="D316" s="2">
        <f>IFERROR(VLOOKUP(A316,[4]Sheet1!A:B,2,FALSE),"缺失")</f>
        <v>19.2708937899</v>
      </c>
    </row>
    <row r="317" spans="1:4">
      <c r="A317" t="s">
        <v>320</v>
      </c>
      <c r="B317" s="1" t="str">
        <f>IFERROR(VLOOKUP(A317,[1]Sheet1!B:C,2,FALSE),"缺失")</f>
        <v>693.0</v>
      </c>
      <c r="C317" s="1">
        <v>112.57776686313</v>
      </c>
      <c r="D317" s="2">
        <f>IFERROR(VLOOKUP(A317,[4]Sheet1!A:B,2,FALSE),"缺失")</f>
        <v>12.320560059</v>
      </c>
    </row>
    <row r="318" spans="1:4">
      <c r="A318" t="s">
        <v>321</v>
      </c>
      <c r="B318" s="1" t="str">
        <f>IFERROR(VLOOKUP(A318,[1]Sheet1!B:C,2,FALSE),"缺失")</f>
        <v>867.0</v>
      </c>
      <c r="C318" s="1">
        <v>41.8461727484949</v>
      </c>
      <c r="D318" s="2">
        <f>IFERROR(VLOOKUP(A318,[4]Sheet1!A:B,2,FALSE),"缺失")</f>
        <v>7.76819615545</v>
      </c>
    </row>
    <row r="319" spans="1:4">
      <c r="A319" t="s">
        <v>322</v>
      </c>
      <c r="B319" s="1" t="str">
        <f>IFERROR(VLOOKUP(A319,[1]Sheet1!B:C,2,FALSE),"缺失")</f>
        <v>410.0</v>
      </c>
      <c r="C319" s="1">
        <v>88.0693565400844</v>
      </c>
      <c r="D319" s="2">
        <f>IFERROR(VLOOKUP(A319,[4]Sheet1!A:B,2,FALSE),"缺失")</f>
        <v>6.23985169693</v>
      </c>
    </row>
    <row r="320" spans="1:4">
      <c r="A320" t="s">
        <v>323</v>
      </c>
      <c r="B320" s="1" t="str">
        <f>IFERROR(VLOOKUP(A320,[1]Sheet1!B:C,2,FALSE),"缺失")</f>
        <v>564.0</v>
      </c>
      <c r="C320" s="1">
        <v>50.0238285144566</v>
      </c>
      <c r="D320" s="2">
        <f>IFERROR(VLOOKUP(A320,[4]Sheet1!A:B,2,FALSE),"缺失")</f>
        <v>5.70491562729</v>
      </c>
    </row>
    <row r="321" spans="1:4">
      <c r="A321" t="s">
        <v>324</v>
      </c>
      <c r="B321" s="1" t="str">
        <f>IFERROR(VLOOKUP(A321,[1]Sheet1!B:C,2,FALSE),"缺失")</f>
        <v>3893.0</v>
      </c>
      <c r="C321" s="1">
        <v>66.0234036796537</v>
      </c>
      <c r="D321" s="2">
        <f>IFERROR(VLOOKUP(A321,[4]Sheet1!A:B,2,FALSE),"缺失")</f>
        <v>9.93632589883</v>
      </c>
    </row>
    <row r="322" spans="1:4">
      <c r="A322" t="s">
        <v>325</v>
      </c>
      <c r="B322" s="1" t="str">
        <f>IFERROR(VLOOKUP(A322,[1]Sheet1!B:C,2,FALSE),"缺失")</f>
        <v>1188.0</v>
      </c>
      <c r="C322" s="1">
        <v>16.706022905166</v>
      </c>
      <c r="D322" s="2">
        <f>IFERROR(VLOOKUP(A322,[4]Sheet1!A:B,2,FALSE),"缺失")</f>
        <v>12.7395439922</v>
      </c>
    </row>
    <row r="323" spans="1:4">
      <c r="A323" t="s">
        <v>326</v>
      </c>
      <c r="B323" s="1" t="str">
        <f>IFERROR(VLOOKUP(A323,[1]Sheet1!B:C,2,FALSE),"缺失")</f>
        <v>527.0</v>
      </c>
      <c r="C323" s="1">
        <v>4.88716374961298</v>
      </c>
      <c r="D323" s="2">
        <f>IFERROR(VLOOKUP(A323,[4]Sheet1!A:B,2,FALSE),"缺失")</f>
        <v>1.27279022462</v>
      </c>
    </row>
    <row r="324" spans="1:4">
      <c r="A324" t="s">
        <v>327</v>
      </c>
      <c r="B324" s="1" t="str">
        <f>IFERROR(VLOOKUP(A324,[1]Sheet1!B:C,2,FALSE),"缺失")</f>
        <v>869.0</v>
      </c>
      <c r="C324" s="1">
        <v>2.20267599067599</v>
      </c>
      <c r="D324" s="2">
        <f>IFERROR(VLOOKUP(A324,[4]Sheet1!A:B,2,FALSE),"缺失")</f>
        <v>1.01450534114</v>
      </c>
    </row>
    <row r="325" spans="1:4">
      <c r="A325" t="s">
        <v>328</v>
      </c>
      <c r="B325" s="1">
        <v>2169.52</v>
      </c>
      <c r="C325" s="1">
        <v>10.5307234056795</v>
      </c>
      <c r="D325" s="2">
        <f>IFERROR(VLOOKUP(A325,[4]Sheet1!A:B,2,FALSE),"缺失")</f>
        <v>4.44397560843</v>
      </c>
    </row>
    <row r="326" spans="1:4">
      <c r="A326" t="s">
        <v>329</v>
      </c>
      <c r="B326" s="1">
        <v>481.66</v>
      </c>
      <c r="C326" s="1">
        <v>8.76748070353031</v>
      </c>
      <c r="D326" s="2">
        <f>IFERROR(VLOOKUP(A326,[4]Sheet1!A:B,2,FALSE),"缺失")</f>
        <v>3.10329109689</v>
      </c>
    </row>
    <row r="327" spans="1:4">
      <c r="A327" t="s">
        <v>330</v>
      </c>
      <c r="B327" s="1">
        <v>1519.84</v>
      </c>
      <c r="C327" s="1">
        <v>1.26795417829343</v>
      </c>
      <c r="D327" s="2">
        <f>IFERROR(VLOOKUP(A327,[4]Sheet1!A:B,2,FALSE),"缺失")</f>
        <v>0.499560408756</v>
      </c>
    </row>
    <row r="328" spans="1:4">
      <c r="A328" t="s">
        <v>331</v>
      </c>
      <c r="B328" s="1">
        <v>1739.54</v>
      </c>
      <c r="C328" s="1">
        <v>9.29577550647187</v>
      </c>
      <c r="D328" s="2">
        <f>IFERROR(VLOOKUP(A328,[4]Sheet1!A:B,2,FALSE),"缺失")</f>
        <v>3.97215461312</v>
      </c>
    </row>
    <row r="329" spans="1:4">
      <c r="A329" t="s">
        <v>332</v>
      </c>
      <c r="B329" s="1">
        <v>217.12</v>
      </c>
      <c r="C329" s="1">
        <v>4.11760689596313</v>
      </c>
      <c r="D329" s="2">
        <f>IFERROR(VLOOKUP(A329,[4]Sheet1!A:B,2,FALSE),"缺失")</f>
        <v>0.999426712339</v>
      </c>
    </row>
    <row r="330" spans="1:4">
      <c r="A330" t="s">
        <v>333</v>
      </c>
      <c r="B330" s="1">
        <v>1368.56</v>
      </c>
      <c r="C330" s="1">
        <v>19.3649656489952</v>
      </c>
      <c r="D330" s="2">
        <f>IFERROR(VLOOKUP(A330,[4]Sheet1!A:B,2,FALSE),"缺失")</f>
        <v>2.4200581527</v>
      </c>
    </row>
    <row r="331" spans="1:4">
      <c r="A331" t="s">
        <v>334</v>
      </c>
      <c r="B331" s="1">
        <v>490.55</v>
      </c>
      <c r="C331" s="1">
        <v>4.41704430877644</v>
      </c>
      <c r="D331" s="2">
        <f>IFERROR(VLOOKUP(A331,[4]Sheet1!A:B,2,FALSE),"缺失")</f>
        <v>0.769538608306</v>
      </c>
    </row>
    <row r="332" spans="1:4">
      <c r="A332" t="s">
        <v>335</v>
      </c>
      <c r="B332" s="1">
        <v>2801.36</v>
      </c>
      <c r="C332" s="1">
        <v>24.9170209878777</v>
      </c>
      <c r="D332" s="2">
        <f>IFERROR(VLOOKUP(A332,[4]Sheet1!A:B,2,FALSE),"缺失")</f>
        <v>3.55783720972</v>
      </c>
    </row>
    <row r="333" spans="1:4">
      <c r="A333" t="s">
        <v>336</v>
      </c>
      <c r="B333" s="1">
        <v>877.47</v>
      </c>
      <c r="C333" s="1">
        <v>5.44724882891701</v>
      </c>
      <c r="D333" s="2">
        <f>IFERROR(VLOOKUP(A333,[4]Sheet1!A:B,2,FALSE),"缺失")</f>
        <v>2.69165583627</v>
      </c>
    </row>
    <row r="334" spans="1:4">
      <c r="A334" t="s">
        <v>337</v>
      </c>
      <c r="B334" s="1">
        <v>399.71</v>
      </c>
      <c r="C334" s="1">
        <v>2.87941132075472</v>
      </c>
      <c r="D334" s="2">
        <f>IFERROR(VLOOKUP(A334,[4]Sheet1!A:B,2,FALSE),"缺失")</f>
        <v>1.65487331269</v>
      </c>
    </row>
    <row r="335" spans="1:4">
      <c r="A335" t="s">
        <v>338</v>
      </c>
      <c r="B335" s="1" t="str">
        <f>IFERROR(VLOOKUP(A335,[1]Sheet1!B:C,2,FALSE),"缺失")</f>
        <v>41611.0</v>
      </c>
      <c r="C335" s="1">
        <v>483.20072</v>
      </c>
      <c r="D335" s="2">
        <f>IFERROR(VLOOKUP(A335,[4]Sheet1!A:B,2,FALSE),"缺失")</f>
        <v>27.3147335041</v>
      </c>
    </row>
    <row r="336" spans="1:4">
      <c r="A336" t="s">
        <v>339</v>
      </c>
      <c r="B336" s="1" t="str">
        <f>IFERROR(VLOOKUP(A336,[1]Sheet1!B:C,2,FALSE),"缺失")</f>
        <v>16311.0</v>
      </c>
      <c r="C336" s="1">
        <v>559.965985225906</v>
      </c>
      <c r="D336" s="2">
        <f>IFERROR(VLOOKUP(A336,[4]Sheet1!A:B,2,FALSE),"缺失")</f>
        <v>34.2142975343</v>
      </c>
    </row>
    <row r="337" spans="1:4">
      <c r="A337" t="s">
        <v>340</v>
      </c>
      <c r="B337" s="1" t="str">
        <f>IFERROR(VLOOKUP(A337,[1]Sheet1!B:C,2,FALSE),"缺失")</f>
        <v>44653.0</v>
      </c>
      <c r="C337" s="1">
        <v>1700.71342228304</v>
      </c>
      <c r="D337" s="2">
        <f>IFERROR(VLOOKUP(A337,[4]Sheet1!A:B,2,FALSE),"缺失")</f>
        <v>46.7962198022</v>
      </c>
    </row>
    <row r="338" spans="1:4">
      <c r="A338" t="s">
        <v>341</v>
      </c>
      <c r="B338" s="1" t="str">
        <f>IFERROR(VLOOKUP(A338,[3]Sheet1!B:C,2,FALSE),"缺失")</f>
        <v>29129.0</v>
      </c>
      <c r="C338" s="1">
        <v>290.023925297603</v>
      </c>
      <c r="D338" s="2">
        <f>IFERROR(VLOOKUP(A338,[4]Sheet1!A:B,2,FALSE),"缺失")</f>
        <v>8.4734050301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管华强</cp:lastModifiedBy>
  <dcterms:created xsi:type="dcterms:W3CDTF">2023-05-12T11:15:00Z</dcterms:created>
  <dcterms:modified xsi:type="dcterms:W3CDTF">2026-02-11T05:32:30Z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CD6939E7F70C4EE2BC4063A5B550A27A_13</vt:lpwstr>
  </property>
  <property fmtid="{D5CDD505-2E9C-101B-9397-08002B2CF9AE}" pid="4" name="CalculationRule">
    <vt:i4>0</vt:i4>
  </property>
</Properties>
</file>